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3250" windowHeight="12450"/>
  </bookViews>
  <sheets>
    <sheet name="NORMAL" sheetId="4" r:id="rId1"/>
    <sheet name="DEVICE" sheetId="3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7" i="3"/>
  <c r="P47" s="1"/>
  <c r="Q47" s="1"/>
  <c r="O46"/>
  <c r="P46" s="1"/>
  <c r="Q46" s="1"/>
  <c r="L47"/>
  <c r="L46"/>
  <c r="K47"/>
  <c r="K46"/>
  <c r="H47"/>
  <c r="H46"/>
  <c r="P45" i="4"/>
  <c r="Q45" s="1"/>
  <c r="P47"/>
  <c r="Q47" s="1"/>
  <c r="P49"/>
  <c r="Q49" s="1"/>
  <c r="O49"/>
  <c r="O48"/>
  <c r="P48" s="1"/>
  <c r="Q48" s="1"/>
  <c r="O47"/>
  <c r="O46"/>
  <c r="P46" s="1"/>
  <c r="Q46" s="1"/>
  <c r="O45"/>
  <c r="G50"/>
  <c r="H49"/>
  <c r="H48"/>
  <c r="H47"/>
  <c r="H46"/>
  <c r="L46"/>
  <c r="L47"/>
  <c r="L48"/>
  <c r="L49"/>
  <c r="K46"/>
  <c r="K47"/>
  <c r="K48"/>
  <c r="K49"/>
  <c r="L45"/>
  <c r="K45"/>
  <c r="H45"/>
  <c r="O44"/>
  <c r="L44"/>
  <c r="K44"/>
  <c r="H44"/>
  <c r="O45" i="3"/>
  <c r="P45" s="1"/>
  <c r="Q45" s="1"/>
  <c r="L45"/>
  <c r="K45"/>
  <c r="H45"/>
  <c r="O44"/>
  <c r="P44" s="1"/>
  <c r="Q44" s="1"/>
  <c r="L44"/>
  <c r="K44"/>
  <c r="H44"/>
  <c r="O43" i="4"/>
  <c r="P43" s="1"/>
  <c r="Q43" s="1"/>
  <c r="L43"/>
  <c r="K43"/>
  <c r="H43"/>
  <c r="O42"/>
  <c r="P42" s="1"/>
  <c r="Q42" s="1"/>
  <c r="L42"/>
  <c r="K42"/>
  <c r="H42"/>
  <c r="O41"/>
  <c r="L41"/>
  <c r="K41"/>
  <c r="H41"/>
  <c r="O40"/>
  <c r="P40" s="1"/>
  <c r="Q40" s="1"/>
  <c r="L40"/>
  <c r="K40"/>
  <c r="H40"/>
  <c r="O39"/>
  <c r="P39" s="1"/>
  <c r="Q39" s="1"/>
  <c r="L39"/>
  <c r="K39"/>
  <c r="H39"/>
  <c r="O38"/>
  <c r="L38"/>
  <c r="K38"/>
  <c r="H38"/>
  <c r="P38"/>
  <c r="Q38" s="1"/>
  <c r="O37"/>
  <c r="P37" s="1"/>
  <c r="Q37" s="1"/>
  <c r="L37"/>
  <c r="K37"/>
  <c r="H37"/>
  <c r="O36"/>
  <c r="P36" s="1"/>
  <c r="Q36" s="1"/>
  <c r="L36"/>
  <c r="K36"/>
  <c r="H36"/>
  <c r="P41"/>
  <c r="Q41" s="1"/>
  <c r="P44"/>
  <c r="Q44" s="1"/>
  <c r="O35"/>
  <c r="P35" s="1"/>
  <c r="Q35" s="1"/>
  <c r="O34"/>
  <c r="P34" s="1"/>
  <c r="Q34" s="1"/>
  <c r="L35"/>
  <c r="K35"/>
  <c r="H35"/>
  <c r="L34"/>
  <c r="K34"/>
  <c r="H34"/>
  <c r="P42" i="3"/>
  <c r="Q42" s="1"/>
  <c r="O43"/>
  <c r="P43" s="1"/>
  <c r="Q43" s="1"/>
  <c r="O42"/>
  <c r="L43"/>
  <c r="K43"/>
  <c r="H43"/>
  <c r="L42"/>
  <c r="K42"/>
  <c r="H42"/>
  <c r="O41"/>
  <c r="P41" s="1"/>
  <c r="Q41" s="1"/>
  <c r="L41"/>
  <c r="K41"/>
  <c r="H41"/>
  <c r="O33" i="4"/>
  <c r="P33" s="1"/>
  <c r="Q33" s="1"/>
  <c r="L33"/>
  <c r="K33"/>
  <c r="H33"/>
  <c r="O40" i="3"/>
  <c r="P40" s="1"/>
  <c r="Q40" s="1"/>
  <c r="H40"/>
  <c r="O39"/>
  <c r="P39" s="1"/>
  <c r="Q39" s="1"/>
  <c r="H39"/>
  <c r="O38"/>
  <c r="P38" s="1"/>
  <c r="Q38" s="1"/>
  <c r="H38"/>
  <c r="L38"/>
  <c r="L39"/>
  <c r="L40"/>
  <c r="K38"/>
  <c r="K39"/>
  <c r="K40"/>
  <c r="O37"/>
  <c r="P37" s="1"/>
  <c r="Q37" s="1"/>
  <c r="L37"/>
  <c r="K37"/>
  <c r="H37"/>
  <c r="O36"/>
  <c r="P36" s="1"/>
  <c r="Q36" s="1"/>
  <c r="O32" i="4"/>
  <c r="P32" s="1"/>
  <c r="Q32" s="1"/>
  <c r="O35" i="3"/>
  <c r="P35" s="1"/>
  <c r="Q35" s="1"/>
  <c r="H35"/>
  <c r="O34"/>
  <c r="P34" s="1"/>
  <c r="Q34" s="1"/>
  <c r="O33"/>
  <c r="P33" s="1"/>
  <c r="Q33" s="1"/>
  <c r="O32"/>
  <c r="P32" s="1"/>
  <c r="Q32" s="1"/>
  <c r="O31"/>
  <c r="P31" s="1"/>
  <c r="Q31" s="1"/>
  <c r="H31"/>
  <c r="H32"/>
  <c r="H33"/>
  <c r="H34"/>
  <c r="H36"/>
  <c r="L31"/>
  <c r="L32"/>
  <c r="L33"/>
  <c r="L34"/>
  <c r="L35"/>
  <c r="L36"/>
  <c r="K31"/>
  <c r="K32"/>
  <c r="K33"/>
  <c r="K34"/>
  <c r="K35"/>
  <c r="K36"/>
  <c r="O30"/>
  <c r="P30" s="1"/>
  <c r="Q30" s="1"/>
  <c r="L30"/>
  <c r="K30"/>
  <c r="H30"/>
  <c r="O29"/>
  <c r="P29" s="1"/>
  <c r="Q29" s="1"/>
  <c r="O28"/>
  <c r="P28" s="1"/>
  <c r="Q28" s="1"/>
  <c r="O27"/>
  <c r="P27" s="1"/>
  <c r="Q27" s="1"/>
  <c r="O26"/>
  <c r="P26" s="1"/>
  <c r="Q26" s="1"/>
  <c r="O25"/>
  <c r="P25" s="1"/>
  <c r="Q25" s="1"/>
  <c r="O24"/>
  <c r="P24" s="1"/>
  <c r="Q24" s="1"/>
  <c r="H22"/>
  <c r="H23"/>
  <c r="H24"/>
  <c r="H25"/>
  <c r="H26"/>
  <c r="H27"/>
  <c r="H28"/>
  <c r="H29"/>
  <c r="O23"/>
  <c r="P23" s="1"/>
  <c r="Q23" s="1"/>
  <c r="O22"/>
  <c r="P22" s="1"/>
  <c r="Q22" s="1"/>
  <c r="O21"/>
  <c r="P21" s="1"/>
  <c r="Q21" s="1"/>
  <c r="H21"/>
  <c r="O20"/>
  <c r="P20" s="1"/>
  <c r="Q20" s="1"/>
  <c r="H20"/>
  <c r="L20"/>
  <c r="L21"/>
  <c r="L22"/>
  <c r="L23"/>
  <c r="L24"/>
  <c r="L25"/>
  <c r="L26"/>
  <c r="L27"/>
  <c r="L28"/>
  <c r="L29"/>
  <c r="K20"/>
  <c r="K21"/>
  <c r="K22"/>
  <c r="K23"/>
  <c r="K24"/>
  <c r="K25"/>
  <c r="K26"/>
  <c r="K27"/>
  <c r="K28"/>
  <c r="K29"/>
  <c r="O19"/>
  <c r="P19" s="1"/>
  <c r="Q19" s="1"/>
  <c r="L19"/>
  <c r="K19"/>
  <c r="H19"/>
  <c r="O18"/>
  <c r="L31" i="4"/>
  <c r="K31"/>
  <c r="H31"/>
  <c r="L30"/>
  <c r="K30"/>
  <c r="H30"/>
  <c r="O31"/>
  <c r="P31" s="1"/>
  <c r="Q31" s="1"/>
  <c r="O30"/>
  <c r="P30" s="1"/>
  <c r="Q30" s="1"/>
  <c r="O29"/>
  <c r="O28"/>
  <c r="P28" s="1"/>
  <c r="Q28" s="1"/>
  <c r="L28"/>
  <c r="K28"/>
  <c r="H28"/>
  <c r="O27"/>
  <c r="P27" s="1"/>
  <c r="Q27" s="1"/>
  <c r="O26"/>
  <c r="P26" s="1"/>
  <c r="Q26" s="1"/>
  <c r="L26"/>
  <c r="K26"/>
  <c r="H26"/>
  <c r="O25"/>
  <c r="P25" s="1"/>
  <c r="Q25" s="1"/>
  <c r="L24"/>
  <c r="K24"/>
  <c r="H24"/>
  <c r="L23"/>
  <c r="K23"/>
  <c r="H23"/>
  <c r="O24"/>
  <c r="P24" s="1"/>
  <c r="Q24" s="1"/>
  <c r="O23"/>
  <c r="P23" s="1"/>
  <c r="Q23" s="1"/>
  <c r="O22"/>
  <c r="P22" s="1"/>
  <c r="Q22" s="1"/>
  <c r="L22"/>
  <c r="K22"/>
  <c r="H22"/>
  <c r="L21"/>
  <c r="K21"/>
  <c r="H21"/>
  <c r="O21"/>
  <c r="P21" s="1"/>
  <c r="Q21" s="1"/>
  <c r="O20"/>
  <c r="P20" s="1"/>
  <c r="Q20" s="1"/>
  <c r="L19"/>
  <c r="K19"/>
  <c r="H19"/>
  <c r="L18"/>
  <c r="K18"/>
  <c r="H18"/>
  <c r="L17"/>
  <c r="K17"/>
  <c r="H17"/>
  <c r="L16"/>
  <c r="K16"/>
  <c r="H16"/>
  <c r="O19"/>
  <c r="P19" s="1"/>
  <c r="Q19" s="1"/>
  <c r="O18"/>
  <c r="P18" s="1"/>
  <c r="Q18" s="1"/>
  <c r="O17"/>
  <c r="P17" s="1"/>
  <c r="Q17" s="1"/>
  <c r="O16"/>
  <c r="P16" s="1"/>
  <c r="Q16" s="1"/>
  <c r="O15"/>
  <c r="O17" i="3" l="1"/>
  <c r="P17" s="1"/>
  <c r="Q17" s="1"/>
  <c r="O16"/>
  <c r="P16" s="1"/>
  <c r="Q16" s="1"/>
  <c r="O15"/>
  <c r="P15" s="1"/>
  <c r="Q15" s="1"/>
  <c r="O14"/>
  <c r="P14" s="1"/>
  <c r="Q14" s="1"/>
  <c r="L16"/>
  <c r="K16"/>
  <c r="H16"/>
  <c r="L15"/>
  <c r="K15"/>
  <c r="H15"/>
  <c r="L14"/>
  <c r="K14"/>
  <c r="H14"/>
  <c r="O13"/>
  <c r="P13" s="1"/>
  <c r="Q13" s="1"/>
  <c r="P15" i="4"/>
  <c r="Q15" s="1"/>
  <c r="O14"/>
  <c r="P14" s="1"/>
  <c r="Q14" s="1"/>
  <c r="O13"/>
  <c r="P13" s="1"/>
  <c r="Q13" s="1"/>
  <c r="K14"/>
  <c r="L14"/>
  <c r="H14"/>
  <c r="O12"/>
  <c r="P12" s="1"/>
  <c r="Q12" s="1"/>
  <c r="O11"/>
  <c r="P11" s="1"/>
  <c r="Q11" s="1"/>
  <c r="H12"/>
  <c r="K12"/>
  <c r="L12"/>
  <c r="O10"/>
  <c r="P10" s="1"/>
  <c r="Q10" s="1"/>
  <c r="L10"/>
  <c r="K10"/>
  <c r="H10"/>
  <c r="O9"/>
  <c r="P9" s="1"/>
  <c r="Q9" s="1"/>
  <c r="O8"/>
  <c r="P8" s="1"/>
  <c r="Q8" s="1"/>
  <c r="O7"/>
  <c r="P7" s="1"/>
  <c r="Q7" s="1"/>
  <c r="L8"/>
  <c r="K8"/>
  <c r="L7"/>
  <c r="K7"/>
  <c r="H8"/>
  <c r="H7"/>
  <c r="O6"/>
  <c r="P6" s="1"/>
  <c r="Q6" s="1"/>
  <c r="O5"/>
  <c r="P5" s="1"/>
  <c r="Q5" s="1"/>
  <c r="O4"/>
  <c r="P4" s="1"/>
  <c r="Q4" s="1"/>
  <c r="L5"/>
  <c r="L6"/>
  <c r="L9"/>
  <c r="L11"/>
  <c r="L13"/>
  <c r="K5"/>
  <c r="K6"/>
  <c r="K9"/>
  <c r="K11"/>
  <c r="K13"/>
  <c r="H5"/>
  <c r="H6"/>
  <c r="H9"/>
  <c r="H11"/>
  <c r="H13"/>
  <c r="O12" i="3"/>
  <c r="P12" s="1"/>
  <c r="Q12" s="1"/>
  <c r="L12"/>
  <c r="K12"/>
  <c r="H12"/>
  <c r="O11"/>
  <c r="P11" s="1"/>
  <c r="Q11" s="1"/>
  <c r="O10"/>
  <c r="P10" s="1"/>
  <c r="Q10" s="1"/>
  <c r="O3" i="4"/>
  <c r="P3" s="1"/>
  <c r="Q3" s="1"/>
  <c r="O9" i="3"/>
  <c r="P9" s="1"/>
  <c r="Q9" s="1"/>
  <c r="L4" i="4"/>
  <c r="L15"/>
  <c r="L20"/>
  <c r="L25"/>
  <c r="L27"/>
  <c r="K4"/>
  <c r="K15"/>
  <c r="K20"/>
  <c r="K25"/>
  <c r="K27"/>
  <c r="K29"/>
  <c r="H4"/>
  <c r="H15"/>
  <c r="H20"/>
  <c r="H25"/>
  <c r="H27"/>
  <c r="H29"/>
  <c r="L9" i="3"/>
  <c r="L10"/>
  <c r="K9"/>
  <c r="K10"/>
  <c r="H9"/>
  <c r="H10"/>
  <c r="L32" i="4"/>
  <c r="K32"/>
  <c r="H32"/>
  <c r="P29"/>
  <c r="Q29" s="1"/>
  <c r="L29"/>
  <c r="L3"/>
  <c r="K3"/>
  <c r="H3"/>
  <c r="O2"/>
  <c r="P2" s="1"/>
  <c r="Q2" s="1"/>
  <c r="L2"/>
  <c r="L50" s="1"/>
  <c r="K2"/>
  <c r="H2"/>
  <c r="O8" i="3"/>
  <c r="P8" s="1"/>
  <c r="Q8" s="1"/>
  <c r="O7"/>
  <c r="P7" s="1"/>
  <c r="Q7" s="1"/>
  <c r="O6"/>
  <c r="P6" s="1"/>
  <c r="Q6" s="1"/>
  <c r="H7"/>
  <c r="K7"/>
  <c r="L7"/>
  <c r="O5"/>
  <c r="P5" s="1"/>
  <c r="Q5" s="1"/>
  <c r="O4"/>
  <c r="P4" s="1"/>
  <c r="Q4" s="1"/>
  <c r="P18"/>
  <c r="Q18" s="1"/>
  <c r="O3"/>
  <c r="P3" s="1"/>
  <c r="Q3" s="1"/>
  <c r="O2"/>
  <c r="P2" s="1"/>
  <c r="Q2" s="1"/>
  <c r="L3"/>
  <c r="L4"/>
  <c r="L5"/>
  <c r="L6"/>
  <c r="L8"/>
  <c r="L11"/>
  <c r="L13"/>
  <c r="L17"/>
  <c r="L18"/>
  <c r="K3"/>
  <c r="K4"/>
  <c r="K5"/>
  <c r="K6"/>
  <c r="K8"/>
  <c r="K11"/>
  <c r="K13"/>
  <c r="K17"/>
  <c r="K18"/>
  <c r="H3"/>
  <c r="H4"/>
  <c r="H5"/>
  <c r="H6"/>
  <c r="H8"/>
  <c r="H11"/>
  <c r="H13"/>
  <c r="H17"/>
  <c r="H18"/>
  <c r="G48"/>
  <c r="H2"/>
  <c r="K50" i="4" l="1"/>
  <c r="P50"/>
  <c r="Q50"/>
  <c r="Q48" i="3"/>
  <c r="P48"/>
  <c r="L2"/>
  <c r="L48" s="1"/>
  <c r="K2"/>
  <c r="K48" s="1"/>
</calcChain>
</file>

<file path=xl/sharedStrings.xml><?xml version="1.0" encoding="utf-8"?>
<sst xmlns="http://schemas.openxmlformats.org/spreadsheetml/2006/main" count="364" uniqueCount="240">
  <si>
    <t>Sr. No.</t>
  </si>
  <si>
    <t>Descriptin of goods</t>
  </si>
  <si>
    <t>Batch No.</t>
  </si>
  <si>
    <t>MFG. Dt.</t>
  </si>
  <si>
    <t>Expiry Dt.</t>
  </si>
  <si>
    <t xml:space="preserve">Qty in Tab/Pcs per Carton </t>
  </si>
  <si>
    <t>Total Carton</t>
  </si>
  <si>
    <t>Total Quantity in pcs</t>
  </si>
  <si>
    <t>Gross Weight per Carton (Kg)</t>
  </si>
  <si>
    <t>Net Weight per Carton (Kg)</t>
  </si>
  <si>
    <t>Total Gross Weight (Kg.)</t>
  </si>
  <si>
    <t>Total Net Weight (Kg.)</t>
  </si>
  <si>
    <t>Carton No.</t>
  </si>
  <si>
    <t>Size of per Carton (CM)</t>
  </si>
  <si>
    <t>CBM PER SHIPPER</t>
  </si>
  <si>
    <t>TOTAL CBM</t>
  </si>
  <si>
    <t>Nebulizer With Accsessories</t>
  </si>
  <si>
    <t>NA</t>
  </si>
  <si>
    <t>001-002</t>
  </si>
  <si>
    <t>003-003</t>
  </si>
  <si>
    <t>59*30*27</t>
  </si>
  <si>
    <t>41*32*27</t>
  </si>
  <si>
    <t>Portable Laboratory Systems, Portable PCR systems</t>
  </si>
  <si>
    <t>004-004</t>
  </si>
  <si>
    <t>38*37*27</t>
  </si>
  <si>
    <t>Radiation Detectors</t>
  </si>
  <si>
    <t>005-005</t>
  </si>
  <si>
    <t>24*17*14</t>
  </si>
  <si>
    <t>Infusion pump With accsessories</t>
  </si>
  <si>
    <t>006-009</t>
  </si>
  <si>
    <t>010-010</t>
  </si>
  <si>
    <t>63*30*27</t>
  </si>
  <si>
    <t>42*30*24</t>
  </si>
  <si>
    <t>Point-of-Care Blood Testing Devices; Blood Gas Analyzer</t>
  </si>
  <si>
    <t>011-011</t>
  </si>
  <si>
    <t>54*52*52</t>
  </si>
  <si>
    <t>108*27*95</t>
  </si>
  <si>
    <t>001-400</t>
  </si>
  <si>
    <t>Electrocautery</t>
  </si>
  <si>
    <t>012-023</t>
  </si>
  <si>
    <t>57*48*30</t>
  </si>
  <si>
    <t>Everolimus 5 mg tab</t>
  </si>
  <si>
    <t>OTO713</t>
  </si>
  <si>
    <t>401-401</t>
  </si>
  <si>
    <t>26*24*18</t>
  </si>
  <si>
    <t>ECG machine With accsessories</t>
  </si>
  <si>
    <t>024-050</t>
  </si>
  <si>
    <t>33*42*23</t>
  </si>
  <si>
    <t>Handheld Refractometer With accsessories</t>
  </si>
  <si>
    <t>051-058</t>
  </si>
  <si>
    <t>54*70*65</t>
  </si>
  <si>
    <t>059-066</t>
  </si>
  <si>
    <t>28*59*65</t>
  </si>
  <si>
    <t>Eribulin vial 50 mg</t>
  </si>
  <si>
    <t>GB37Q004A</t>
  </si>
  <si>
    <t>402-403</t>
  </si>
  <si>
    <t>404-404</t>
  </si>
  <si>
    <t>45*48*33</t>
  </si>
  <si>
    <t>18*18*17</t>
  </si>
  <si>
    <t>Cisplatin vial 10mg</t>
  </si>
  <si>
    <t>ADA2513C1</t>
  </si>
  <si>
    <t>405-405</t>
  </si>
  <si>
    <t>25*33*23</t>
  </si>
  <si>
    <t>ADA2516C1</t>
  </si>
  <si>
    <t>406-406</t>
  </si>
  <si>
    <t>407-407</t>
  </si>
  <si>
    <t>47*45*33</t>
  </si>
  <si>
    <t>52*33*37</t>
  </si>
  <si>
    <t>Ferrinject vial 500mg</t>
  </si>
  <si>
    <t>PBSL25071A</t>
  </si>
  <si>
    <t>408-429</t>
  </si>
  <si>
    <t>50*33*41</t>
  </si>
  <si>
    <t>430-430</t>
  </si>
  <si>
    <t>41*26*30</t>
  </si>
  <si>
    <t>Carbamazepine 200mg Tab</t>
  </si>
  <si>
    <t>Carbamazepine 400mg Tab</t>
  </si>
  <si>
    <t>MZB26003</t>
  </si>
  <si>
    <t>431-431</t>
  </si>
  <si>
    <t>432-432</t>
  </si>
  <si>
    <t>45*28*26</t>
  </si>
  <si>
    <t>HALC5005</t>
  </si>
  <si>
    <t>433-433</t>
  </si>
  <si>
    <t>434-434</t>
  </si>
  <si>
    <t>33*37*30</t>
  </si>
  <si>
    <t>41*24*28</t>
  </si>
  <si>
    <t>067-074</t>
  </si>
  <si>
    <t>108*90*86</t>
  </si>
  <si>
    <t>075-082</t>
  </si>
  <si>
    <t>083-090</t>
  </si>
  <si>
    <t>091-098</t>
  </si>
  <si>
    <t>52*33*11</t>
  </si>
  <si>
    <t>50*41*28</t>
  </si>
  <si>
    <t>65*47*59</t>
  </si>
  <si>
    <t>Urine analyzers</t>
  </si>
  <si>
    <t>099-099</t>
  </si>
  <si>
    <t>37*33*18</t>
  </si>
  <si>
    <t>Oxaliplatin 50 mg Inj</t>
  </si>
  <si>
    <t>Paclitaxel 30 mg vial</t>
  </si>
  <si>
    <t>Paclitaxel 300 mg vial</t>
  </si>
  <si>
    <t>Temozolamide 100mg Tab</t>
  </si>
  <si>
    <t>Methotrexate 50 mg Inj</t>
  </si>
  <si>
    <t>I26OP03A3</t>
  </si>
  <si>
    <t>435-441</t>
  </si>
  <si>
    <t>57*38*41</t>
  </si>
  <si>
    <t>I26OP03A2</t>
  </si>
  <si>
    <t>442-442</t>
  </si>
  <si>
    <t>443-449</t>
  </si>
  <si>
    <t>450-450</t>
  </si>
  <si>
    <t>I26OP03A4</t>
  </si>
  <si>
    <t>451-451</t>
  </si>
  <si>
    <t>I26PC02A2</t>
  </si>
  <si>
    <t>452-453</t>
  </si>
  <si>
    <t>454-454</t>
  </si>
  <si>
    <t>I26PC02A3</t>
  </si>
  <si>
    <t>455-455</t>
  </si>
  <si>
    <t>I26PC03A4</t>
  </si>
  <si>
    <t>456-458</t>
  </si>
  <si>
    <t>459-459</t>
  </si>
  <si>
    <t>I26PC01E3</t>
  </si>
  <si>
    <t>460-460</t>
  </si>
  <si>
    <t>41*26*33</t>
  </si>
  <si>
    <t>461-465</t>
  </si>
  <si>
    <t>C26TM03C3</t>
  </si>
  <si>
    <t>466-472</t>
  </si>
  <si>
    <t>473-473</t>
  </si>
  <si>
    <t>26*24*21</t>
  </si>
  <si>
    <t>I26MT01B2</t>
  </si>
  <si>
    <t>474-475</t>
  </si>
  <si>
    <t>476-496</t>
  </si>
  <si>
    <t>497-497</t>
  </si>
  <si>
    <t>Fully Automatic Biochemistry Analyser With Accsessories</t>
  </si>
  <si>
    <t>ICU bed With accsessories</t>
  </si>
  <si>
    <t>100-104</t>
  </si>
  <si>
    <t>210*108*65</t>
  </si>
  <si>
    <t>105-105</t>
  </si>
  <si>
    <t>97*55*33</t>
  </si>
  <si>
    <t>CPR bed With accsessories</t>
  </si>
  <si>
    <t>106-106</t>
  </si>
  <si>
    <t>97*45*34</t>
  </si>
  <si>
    <t>108-111</t>
  </si>
  <si>
    <t>112-112</t>
  </si>
  <si>
    <t>113-113</t>
  </si>
  <si>
    <t>Three section surgical bed With accsessories</t>
  </si>
  <si>
    <t>114-128</t>
  </si>
  <si>
    <t>129-130</t>
  </si>
  <si>
    <t>131-131</t>
  </si>
  <si>
    <t>132-133</t>
  </si>
  <si>
    <t>134-134</t>
  </si>
  <si>
    <t>Hospital bed (inpatents) With accsessories</t>
  </si>
  <si>
    <t>135-184</t>
  </si>
  <si>
    <t>230*95*18</t>
  </si>
  <si>
    <t>185-200</t>
  </si>
  <si>
    <t>101*45*54</t>
  </si>
  <si>
    <t>201-201</t>
  </si>
  <si>
    <t>101*33*54</t>
  </si>
  <si>
    <t>202-211</t>
  </si>
  <si>
    <t>197*45*90</t>
  </si>
  <si>
    <t>212-261</t>
  </si>
  <si>
    <t>90*37*34</t>
  </si>
  <si>
    <t>262-286</t>
  </si>
  <si>
    <t>55*99*21</t>
  </si>
  <si>
    <t>Handheld Blood Analyzers</t>
  </si>
  <si>
    <t>287-287</t>
  </si>
  <si>
    <t>52*52*52</t>
  </si>
  <si>
    <t>Oxaliplatin 100 mg Inj</t>
  </si>
  <si>
    <t>325-1285</t>
  </si>
  <si>
    <t>498-502</t>
  </si>
  <si>
    <t>35*23*28</t>
  </si>
  <si>
    <t>127*92*145</t>
  </si>
  <si>
    <t>74*69*52</t>
  </si>
  <si>
    <t>54*21*41</t>
  </si>
  <si>
    <t>54*38*42</t>
  </si>
  <si>
    <t>108*70*43</t>
  </si>
  <si>
    <t>Patient Transport Chair</t>
  </si>
  <si>
    <t>I26PC03E4</t>
  </si>
  <si>
    <t>I26MT03B3</t>
  </si>
  <si>
    <t>503-503</t>
  </si>
  <si>
    <t>288-293</t>
  </si>
  <si>
    <t>294-299</t>
  </si>
  <si>
    <t>300-305</t>
  </si>
  <si>
    <t>306-311</t>
  </si>
  <si>
    <t>312-317</t>
  </si>
  <si>
    <t>318-323</t>
  </si>
  <si>
    <t>50*45*59</t>
  </si>
  <si>
    <t>Plasma Autoclave 180 litres</t>
  </si>
  <si>
    <t>324-327</t>
  </si>
  <si>
    <t>328-328</t>
  </si>
  <si>
    <t>214*108*124</t>
  </si>
  <si>
    <t>97*74*86</t>
  </si>
  <si>
    <t>Tofacitinib 11mg</t>
  </si>
  <si>
    <t>26S2GTA349</t>
  </si>
  <si>
    <t>504-504</t>
  </si>
  <si>
    <t>50*37*32</t>
  </si>
  <si>
    <t>505-505</t>
  </si>
  <si>
    <t>Temozolamide 20mg Tab</t>
  </si>
  <si>
    <t>Temozolamide 250mg Tab</t>
  </si>
  <si>
    <t>Description of goods</t>
  </si>
  <si>
    <t>506-506</t>
  </si>
  <si>
    <t>54*38*38</t>
  </si>
  <si>
    <t>507-507</t>
  </si>
  <si>
    <t>508-508</t>
  </si>
  <si>
    <t>50*38*27</t>
  </si>
  <si>
    <t>509-509</t>
  </si>
  <si>
    <t>510-510</t>
  </si>
  <si>
    <t>511-511</t>
  </si>
  <si>
    <t>56*41*38</t>
  </si>
  <si>
    <t>LGQ01/107/13</t>
  </si>
  <si>
    <t>512-512</t>
  </si>
  <si>
    <t>54*42*30</t>
  </si>
  <si>
    <t>TMCB26A02-A</t>
  </si>
  <si>
    <t>TMCB26C01-A</t>
  </si>
  <si>
    <t>TMCF25C02-C</t>
  </si>
  <si>
    <t>TMCI25C03-E</t>
  </si>
  <si>
    <t>TMCL25C04-B</t>
  </si>
  <si>
    <t>513-513</t>
  </si>
  <si>
    <t>43*34*27</t>
  </si>
  <si>
    <t>Verticle Autoclave 79 Litres</t>
  </si>
  <si>
    <t>329-338</t>
  </si>
  <si>
    <t>90*60*55</t>
  </si>
  <si>
    <t>Portable Ultrasound With accsessories</t>
  </si>
  <si>
    <t>339-339</t>
  </si>
  <si>
    <t>54*38*27</t>
  </si>
  <si>
    <t>C-Arm Digital Radiological System With Accsessories</t>
  </si>
  <si>
    <t>Paclitaxol 100 mg vial</t>
  </si>
  <si>
    <t>APA2558PT</t>
  </si>
  <si>
    <t>514-516</t>
  </si>
  <si>
    <t>50*30*34</t>
  </si>
  <si>
    <t>517-517</t>
  </si>
  <si>
    <t>48*21*27</t>
  </si>
  <si>
    <t>25*26*28</t>
  </si>
  <si>
    <t>518-530</t>
  </si>
  <si>
    <t>531-531</t>
  </si>
  <si>
    <t>532-543</t>
  </si>
  <si>
    <t>544-544</t>
  </si>
  <si>
    <t>APA2559PT</t>
  </si>
  <si>
    <t>PCIA26AB601-A</t>
  </si>
  <si>
    <t>340-342</t>
  </si>
  <si>
    <t>343-345</t>
  </si>
  <si>
    <t>155*133*147</t>
  </si>
  <si>
    <t>214*92*79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</si>
</sst>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49" fontId="2" fillId="2" borderId="1" xfId="0" quotePrefix="1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" fontId="2" fillId="0" borderId="3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17" fontId="2" fillId="2" borderId="3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7" fontId="2" fillId="0" borderId="2" xfId="0" applyNumberFormat="1" applyFont="1" applyBorder="1" applyAlignment="1">
      <alignment horizontal="center" vertical="center" wrapText="1"/>
    </xf>
    <xf numFmtId="17" fontId="2" fillId="0" borderId="3" xfId="0" applyNumberFormat="1" applyFont="1" applyBorder="1" applyAlignment="1">
      <alignment horizontal="center" vertical="center" wrapText="1"/>
    </xf>
    <xf numFmtId="17" fontId="2" fillId="2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" fontId="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0"/>
  <sheetViews>
    <sheetView tabSelected="1" workbookViewId="0">
      <pane ySplit="1" topLeftCell="A2" activePane="bottomLeft" state="frozen"/>
      <selection pane="bottomLeft" activeCell="T6" sqref="T6"/>
    </sheetView>
  </sheetViews>
  <sheetFormatPr defaultColWidth="8.85546875" defaultRowHeight="15"/>
  <cols>
    <col min="1" max="1" width="4.28515625" style="6" bestFit="1" customWidth="1"/>
    <col min="2" max="2" width="27.7109375" style="6" bestFit="1" customWidth="1"/>
    <col min="3" max="3" width="14.85546875" style="6" bestFit="1" customWidth="1"/>
    <col min="4" max="4" width="7.7109375" style="6" bestFit="1" customWidth="1"/>
    <col min="5" max="5" width="10.42578125" style="6" customWidth="1"/>
    <col min="6" max="6" width="9.28515625" style="6" bestFit="1" customWidth="1"/>
    <col min="7" max="7" width="7.42578125" style="14" bestFit="1" customWidth="1"/>
    <col min="8" max="8" width="9.28515625" style="6" bestFit="1" customWidth="1"/>
    <col min="9" max="10" width="7.7109375" style="6" bestFit="1" customWidth="1"/>
    <col min="11" max="13" width="8.28515625" style="6" bestFit="1" customWidth="1"/>
    <col min="14" max="14" width="10.28515625" style="6" bestFit="1" customWidth="1"/>
    <col min="15" max="15" width="9.7109375" style="6" bestFit="1" customWidth="1"/>
    <col min="16" max="16" width="4.85546875" style="17" bestFit="1" customWidth="1"/>
    <col min="17" max="17" width="10.28515625" style="17" customWidth="1"/>
    <col min="18" max="16384" width="8.85546875" style="6"/>
  </cols>
  <sheetData>
    <row r="1" spans="1:17" ht="75">
      <c r="A1" s="18" t="s">
        <v>0</v>
      </c>
      <c r="B1" s="18" t="s">
        <v>196</v>
      </c>
      <c r="C1" s="18" t="s">
        <v>2</v>
      </c>
      <c r="D1" s="18" t="s">
        <v>3</v>
      </c>
      <c r="E1" s="18" t="s">
        <v>4</v>
      </c>
      <c r="F1" s="27" t="s">
        <v>5</v>
      </c>
      <c r="G1" s="1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7" t="s">
        <v>12</v>
      </c>
      <c r="N1" s="5" t="s">
        <v>13</v>
      </c>
      <c r="O1" s="4" t="s">
        <v>14</v>
      </c>
      <c r="P1" s="7"/>
      <c r="Q1" s="7" t="s">
        <v>15</v>
      </c>
    </row>
    <row r="2" spans="1:17" ht="30">
      <c r="A2" s="18">
        <v>1</v>
      </c>
      <c r="B2" s="18" t="s">
        <v>173</v>
      </c>
      <c r="C2" s="18" t="s">
        <v>17</v>
      </c>
      <c r="D2" s="19" t="s">
        <v>17</v>
      </c>
      <c r="E2" s="19" t="s">
        <v>17</v>
      </c>
      <c r="F2" s="18">
        <v>1</v>
      </c>
      <c r="G2" s="12">
        <v>400</v>
      </c>
      <c r="H2" s="1">
        <f t="shared" ref="H2:H32" si="0">F2*G2</f>
        <v>400</v>
      </c>
      <c r="I2" s="20">
        <v>18</v>
      </c>
      <c r="J2" s="20">
        <v>17</v>
      </c>
      <c r="K2" s="20">
        <f t="shared" ref="K2:K32" si="1">G2*I2</f>
        <v>7200</v>
      </c>
      <c r="L2" s="20">
        <f t="shared" ref="L2:L32" si="2">G2*J2</f>
        <v>6800</v>
      </c>
      <c r="M2" s="21" t="s">
        <v>37</v>
      </c>
      <c r="N2" s="4" t="s">
        <v>36</v>
      </c>
      <c r="O2" s="4">
        <f>108*27*95</f>
        <v>277020</v>
      </c>
      <c r="P2" s="7">
        <f t="shared" ref="P2:P32" si="3">O2/1000000</f>
        <v>0.27701999999999999</v>
      </c>
      <c r="Q2" s="7">
        <f t="shared" ref="Q2:Q32" si="4">P2*G2</f>
        <v>110.80799999999999</v>
      </c>
    </row>
    <row r="3" spans="1:17" ht="30">
      <c r="A3" s="18">
        <v>2</v>
      </c>
      <c r="B3" s="1" t="s">
        <v>41</v>
      </c>
      <c r="C3" s="18" t="s">
        <v>42</v>
      </c>
      <c r="D3" s="19">
        <v>45992</v>
      </c>
      <c r="E3" s="19">
        <v>46692</v>
      </c>
      <c r="F3" s="18">
        <v>1000</v>
      </c>
      <c r="G3" s="12">
        <v>1</v>
      </c>
      <c r="H3" s="1">
        <f t="shared" si="0"/>
        <v>1000</v>
      </c>
      <c r="I3" s="20">
        <v>1</v>
      </c>
      <c r="J3" s="20">
        <v>0.9</v>
      </c>
      <c r="K3" s="20">
        <f t="shared" si="1"/>
        <v>1</v>
      </c>
      <c r="L3" s="20">
        <f t="shared" si="2"/>
        <v>0.9</v>
      </c>
      <c r="M3" s="21" t="s">
        <v>43</v>
      </c>
      <c r="N3" s="4" t="s">
        <v>44</v>
      </c>
      <c r="O3" s="4">
        <f>26*24*18</f>
        <v>11232</v>
      </c>
      <c r="P3" s="7">
        <f t="shared" si="3"/>
        <v>1.1232000000000001E-2</v>
      </c>
      <c r="Q3" s="7">
        <f t="shared" si="4"/>
        <v>1.1232000000000001E-2</v>
      </c>
    </row>
    <row r="4" spans="1:17" ht="30">
      <c r="A4" s="35">
        <v>3</v>
      </c>
      <c r="B4" s="39" t="s">
        <v>53</v>
      </c>
      <c r="C4" s="35" t="s">
        <v>54</v>
      </c>
      <c r="D4" s="37">
        <v>45901</v>
      </c>
      <c r="E4" s="37">
        <v>46600</v>
      </c>
      <c r="F4" s="18">
        <v>231</v>
      </c>
      <c r="G4" s="12">
        <v>2</v>
      </c>
      <c r="H4" s="1">
        <f t="shared" si="0"/>
        <v>462</v>
      </c>
      <c r="I4" s="20">
        <v>9.5</v>
      </c>
      <c r="J4" s="20">
        <v>9</v>
      </c>
      <c r="K4" s="20">
        <f t="shared" si="1"/>
        <v>19</v>
      </c>
      <c r="L4" s="20">
        <f t="shared" si="2"/>
        <v>18</v>
      </c>
      <c r="M4" s="21" t="s">
        <v>55</v>
      </c>
      <c r="N4" s="4" t="s">
        <v>57</v>
      </c>
      <c r="O4" s="4">
        <f>45*48*33</f>
        <v>71280</v>
      </c>
      <c r="P4" s="7">
        <f t="shared" si="3"/>
        <v>7.1279999999999996E-2</v>
      </c>
      <c r="Q4" s="7">
        <f t="shared" si="4"/>
        <v>0.14255999999999999</v>
      </c>
    </row>
    <row r="5" spans="1:17" ht="30">
      <c r="A5" s="36"/>
      <c r="B5" s="40"/>
      <c r="C5" s="36"/>
      <c r="D5" s="38"/>
      <c r="E5" s="38"/>
      <c r="F5" s="18">
        <v>10</v>
      </c>
      <c r="G5" s="12">
        <v>1</v>
      </c>
      <c r="H5" s="1">
        <f t="shared" si="0"/>
        <v>10</v>
      </c>
      <c r="I5" s="20">
        <v>1</v>
      </c>
      <c r="J5" s="20">
        <v>0.9</v>
      </c>
      <c r="K5" s="20">
        <f t="shared" si="1"/>
        <v>1</v>
      </c>
      <c r="L5" s="20">
        <f t="shared" si="2"/>
        <v>0.9</v>
      </c>
      <c r="M5" s="21" t="s">
        <v>56</v>
      </c>
      <c r="N5" s="4" t="s">
        <v>58</v>
      </c>
      <c r="O5" s="4">
        <f>18*18*17</f>
        <v>5508</v>
      </c>
      <c r="P5" s="7">
        <f t="shared" si="3"/>
        <v>5.5079999999999999E-3</v>
      </c>
      <c r="Q5" s="7">
        <f t="shared" si="4"/>
        <v>5.5079999999999999E-3</v>
      </c>
    </row>
    <row r="6" spans="1:17" ht="30">
      <c r="A6" s="35">
        <v>4</v>
      </c>
      <c r="B6" s="39" t="s">
        <v>59</v>
      </c>
      <c r="C6" s="18" t="s">
        <v>60</v>
      </c>
      <c r="D6" s="19">
        <v>45870</v>
      </c>
      <c r="E6" s="19">
        <v>46569</v>
      </c>
      <c r="F6" s="18">
        <v>78</v>
      </c>
      <c r="G6" s="12">
        <v>1</v>
      </c>
      <c r="H6" s="1">
        <f t="shared" si="0"/>
        <v>78</v>
      </c>
      <c r="I6" s="20">
        <v>5</v>
      </c>
      <c r="J6" s="20">
        <v>4.5</v>
      </c>
      <c r="K6" s="20">
        <f t="shared" si="1"/>
        <v>5</v>
      </c>
      <c r="L6" s="20">
        <f t="shared" si="2"/>
        <v>4.5</v>
      </c>
      <c r="M6" s="21" t="s">
        <v>61</v>
      </c>
      <c r="N6" s="4" t="s">
        <v>62</v>
      </c>
      <c r="O6" s="4">
        <f>25*33*23</f>
        <v>18975</v>
      </c>
      <c r="P6" s="7">
        <f t="shared" si="3"/>
        <v>1.8974999999999999E-2</v>
      </c>
      <c r="Q6" s="7">
        <f t="shared" si="4"/>
        <v>1.8974999999999999E-2</v>
      </c>
    </row>
    <row r="7" spans="1:17" ht="30">
      <c r="A7" s="42"/>
      <c r="B7" s="41"/>
      <c r="C7" s="35" t="s">
        <v>63</v>
      </c>
      <c r="D7" s="37">
        <v>45931</v>
      </c>
      <c r="E7" s="37">
        <v>46631</v>
      </c>
      <c r="F7" s="18">
        <v>432</v>
      </c>
      <c r="G7" s="12">
        <v>1</v>
      </c>
      <c r="H7" s="1">
        <f t="shared" si="0"/>
        <v>432</v>
      </c>
      <c r="I7" s="20">
        <v>27.5</v>
      </c>
      <c r="J7" s="20">
        <v>27</v>
      </c>
      <c r="K7" s="20">
        <f t="shared" si="1"/>
        <v>27.5</v>
      </c>
      <c r="L7" s="20">
        <f t="shared" si="2"/>
        <v>27</v>
      </c>
      <c r="M7" s="21" t="s">
        <v>64</v>
      </c>
      <c r="N7" s="4" t="s">
        <v>66</v>
      </c>
      <c r="O7" s="4">
        <f>47*45*33</f>
        <v>69795</v>
      </c>
      <c r="P7" s="7">
        <f t="shared" si="3"/>
        <v>6.9794999999999996E-2</v>
      </c>
      <c r="Q7" s="7">
        <f t="shared" si="4"/>
        <v>6.9794999999999996E-2</v>
      </c>
    </row>
    <row r="8" spans="1:17" ht="30">
      <c r="A8" s="36"/>
      <c r="B8" s="40"/>
      <c r="C8" s="36"/>
      <c r="D8" s="38"/>
      <c r="E8" s="38"/>
      <c r="F8" s="18">
        <v>190</v>
      </c>
      <c r="G8" s="12">
        <v>1</v>
      </c>
      <c r="H8" s="1">
        <f t="shared" si="0"/>
        <v>190</v>
      </c>
      <c r="I8" s="20">
        <v>14.5</v>
      </c>
      <c r="J8" s="20">
        <v>14</v>
      </c>
      <c r="K8" s="20">
        <f t="shared" si="1"/>
        <v>14.5</v>
      </c>
      <c r="L8" s="20">
        <f t="shared" si="2"/>
        <v>14</v>
      </c>
      <c r="M8" s="21" t="s">
        <v>65</v>
      </c>
      <c r="N8" s="4" t="s">
        <v>67</v>
      </c>
      <c r="O8" s="4">
        <f>52*33*37</f>
        <v>63492</v>
      </c>
      <c r="P8" s="7">
        <f t="shared" si="3"/>
        <v>6.3492000000000007E-2</v>
      </c>
      <c r="Q8" s="7">
        <f t="shared" si="4"/>
        <v>6.3492000000000007E-2</v>
      </c>
    </row>
    <row r="9" spans="1:17" ht="30">
      <c r="A9" s="35">
        <v>5</v>
      </c>
      <c r="B9" s="39" t="s">
        <v>68</v>
      </c>
      <c r="C9" s="35" t="s">
        <v>69</v>
      </c>
      <c r="D9" s="37">
        <v>45870</v>
      </c>
      <c r="E9" s="37">
        <v>46569</v>
      </c>
      <c r="F9" s="18">
        <v>225</v>
      </c>
      <c r="G9" s="12">
        <v>22</v>
      </c>
      <c r="H9" s="1">
        <f t="shared" si="0"/>
        <v>4950</v>
      </c>
      <c r="I9" s="20">
        <v>12</v>
      </c>
      <c r="J9" s="20">
        <v>11.5</v>
      </c>
      <c r="K9" s="20">
        <f t="shared" si="1"/>
        <v>264</v>
      </c>
      <c r="L9" s="20">
        <f t="shared" si="2"/>
        <v>253</v>
      </c>
      <c r="M9" s="21" t="s">
        <v>70</v>
      </c>
      <c r="N9" s="4" t="s">
        <v>71</v>
      </c>
      <c r="O9" s="4">
        <f>50*33*41</f>
        <v>67650</v>
      </c>
      <c r="P9" s="7">
        <f t="shared" si="3"/>
        <v>6.7650000000000002E-2</v>
      </c>
      <c r="Q9" s="7">
        <f t="shared" si="4"/>
        <v>1.4883</v>
      </c>
    </row>
    <row r="10" spans="1:17" ht="30">
      <c r="A10" s="36"/>
      <c r="B10" s="40"/>
      <c r="C10" s="36"/>
      <c r="D10" s="38"/>
      <c r="E10" s="38"/>
      <c r="F10" s="18">
        <v>50</v>
      </c>
      <c r="G10" s="12">
        <v>1</v>
      </c>
      <c r="H10" s="1">
        <f t="shared" si="0"/>
        <v>50</v>
      </c>
      <c r="I10" s="20">
        <v>3.5</v>
      </c>
      <c r="J10" s="20">
        <v>3</v>
      </c>
      <c r="K10" s="20">
        <f t="shared" si="1"/>
        <v>3.5</v>
      </c>
      <c r="L10" s="20">
        <f t="shared" si="2"/>
        <v>3</v>
      </c>
      <c r="M10" s="21" t="s">
        <v>72</v>
      </c>
      <c r="N10" s="4" t="s">
        <v>73</v>
      </c>
      <c r="O10" s="4">
        <f>41*26*30</f>
        <v>31980</v>
      </c>
      <c r="P10" s="7">
        <f t="shared" si="3"/>
        <v>3.1980000000000001E-2</v>
      </c>
      <c r="Q10" s="7">
        <f t="shared" si="4"/>
        <v>3.1980000000000001E-2</v>
      </c>
    </row>
    <row r="11" spans="1:17" ht="30">
      <c r="A11" s="35">
        <v>6</v>
      </c>
      <c r="B11" s="39" t="s">
        <v>74</v>
      </c>
      <c r="C11" s="35" t="s">
        <v>76</v>
      </c>
      <c r="D11" s="37">
        <v>46054</v>
      </c>
      <c r="E11" s="37">
        <v>46753</v>
      </c>
      <c r="F11" s="18">
        <v>14400</v>
      </c>
      <c r="G11" s="12">
        <v>1</v>
      </c>
      <c r="H11" s="1">
        <f t="shared" si="0"/>
        <v>14400</v>
      </c>
      <c r="I11" s="20">
        <v>7</v>
      </c>
      <c r="J11" s="20">
        <v>6.5</v>
      </c>
      <c r="K11" s="20">
        <f t="shared" si="1"/>
        <v>7</v>
      </c>
      <c r="L11" s="20">
        <f t="shared" si="2"/>
        <v>6.5</v>
      </c>
      <c r="M11" s="21" t="s">
        <v>77</v>
      </c>
      <c r="N11" s="4" t="s">
        <v>79</v>
      </c>
      <c r="O11" s="4">
        <f>45*28*26</f>
        <v>32760</v>
      </c>
      <c r="P11" s="7">
        <f t="shared" si="3"/>
        <v>3.2759999999999997E-2</v>
      </c>
      <c r="Q11" s="7">
        <f t="shared" si="4"/>
        <v>3.2759999999999997E-2</v>
      </c>
    </row>
    <row r="12" spans="1:17" ht="30">
      <c r="A12" s="36"/>
      <c r="B12" s="40"/>
      <c r="C12" s="36"/>
      <c r="D12" s="38"/>
      <c r="E12" s="38"/>
      <c r="F12" s="18">
        <v>600</v>
      </c>
      <c r="G12" s="12">
        <v>1</v>
      </c>
      <c r="H12" s="1">
        <f t="shared" si="0"/>
        <v>600</v>
      </c>
      <c r="I12" s="20">
        <v>1</v>
      </c>
      <c r="J12" s="20">
        <v>0.9</v>
      </c>
      <c r="K12" s="20">
        <f t="shared" si="1"/>
        <v>1</v>
      </c>
      <c r="L12" s="20">
        <f t="shared" si="2"/>
        <v>0.9</v>
      </c>
      <c r="M12" s="21" t="s">
        <v>78</v>
      </c>
      <c r="N12" s="4" t="s">
        <v>58</v>
      </c>
      <c r="O12" s="4">
        <f>18*18*17</f>
        <v>5508</v>
      </c>
      <c r="P12" s="7">
        <f t="shared" si="3"/>
        <v>5.5079999999999999E-3</v>
      </c>
      <c r="Q12" s="7">
        <f t="shared" si="4"/>
        <v>5.5079999999999999E-3</v>
      </c>
    </row>
    <row r="13" spans="1:17" ht="30">
      <c r="A13" s="35">
        <v>7</v>
      </c>
      <c r="B13" s="39" t="s">
        <v>75</v>
      </c>
      <c r="C13" s="35" t="s">
        <v>80</v>
      </c>
      <c r="D13" s="37">
        <v>45992</v>
      </c>
      <c r="E13" s="37">
        <v>46692</v>
      </c>
      <c r="F13" s="18">
        <v>12000</v>
      </c>
      <c r="G13" s="12">
        <v>1</v>
      </c>
      <c r="H13" s="1">
        <f t="shared" si="0"/>
        <v>12000</v>
      </c>
      <c r="I13" s="20">
        <v>10</v>
      </c>
      <c r="J13" s="20">
        <v>9.5</v>
      </c>
      <c r="K13" s="20">
        <f t="shared" si="1"/>
        <v>10</v>
      </c>
      <c r="L13" s="20">
        <f t="shared" si="2"/>
        <v>9.5</v>
      </c>
      <c r="M13" s="21" t="s">
        <v>81</v>
      </c>
      <c r="N13" s="4" t="s">
        <v>83</v>
      </c>
      <c r="O13" s="4">
        <f>33*37*30</f>
        <v>36630</v>
      </c>
      <c r="P13" s="7">
        <f t="shared" si="3"/>
        <v>3.6630000000000003E-2</v>
      </c>
      <c r="Q13" s="7">
        <f t="shared" si="4"/>
        <v>3.6630000000000003E-2</v>
      </c>
    </row>
    <row r="14" spans="1:17" ht="30">
      <c r="A14" s="36"/>
      <c r="B14" s="40"/>
      <c r="C14" s="36"/>
      <c r="D14" s="38"/>
      <c r="E14" s="38"/>
      <c r="F14" s="18">
        <v>6000</v>
      </c>
      <c r="G14" s="12">
        <v>1</v>
      </c>
      <c r="H14" s="1">
        <f t="shared" si="0"/>
        <v>6000</v>
      </c>
      <c r="I14" s="20">
        <v>5.5</v>
      </c>
      <c r="J14" s="20">
        <v>5</v>
      </c>
      <c r="K14" s="20">
        <f t="shared" si="1"/>
        <v>5.5</v>
      </c>
      <c r="L14" s="20">
        <f t="shared" si="2"/>
        <v>5</v>
      </c>
      <c r="M14" s="21" t="s">
        <v>82</v>
      </c>
      <c r="N14" s="4" t="s">
        <v>84</v>
      </c>
      <c r="O14" s="4">
        <f>41*24*28</f>
        <v>27552</v>
      </c>
      <c r="P14" s="7">
        <f t="shared" si="3"/>
        <v>2.7552E-2</v>
      </c>
      <c r="Q14" s="7">
        <f t="shared" si="4"/>
        <v>2.7552E-2</v>
      </c>
    </row>
    <row r="15" spans="1:17" ht="30">
      <c r="A15" s="35">
        <v>8</v>
      </c>
      <c r="B15" s="39" t="s">
        <v>96</v>
      </c>
      <c r="C15" s="35" t="s">
        <v>104</v>
      </c>
      <c r="D15" s="37">
        <v>46082</v>
      </c>
      <c r="E15" s="37">
        <v>46784</v>
      </c>
      <c r="F15" s="18">
        <v>252</v>
      </c>
      <c r="G15" s="12">
        <v>7</v>
      </c>
      <c r="H15" s="1">
        <f t="shared" si="0"/>
        <v>1764</v>
      </c>
      <c r="I15" s="20">
        <v>21</v>
      </c>
      <c r="J15" s="20">
        <v>20.5</v>
      </c>
      <c r="K15" s="20">
        <f t="shared" si="1"/>
        <v>147</v>
      </c>
      <c r="L15" s="20">
        <f t="shared" si="2"/>
        <v>143.5</v>
      </c>
      <c r="M15" s="21" t="s">
        <v>102</v>
      </c>
      <c r="N15" s="4" t="s">
        <v>103</v>
      </c>
      <c r="O15" s="4">
        <f t="shared" ref="O15:O24" si="5">57*38*41</f>
        <v>88806</v>
      </c>
      <c r="P15" s="7">
        <f t="shared" si="3"/>
        <v>8.8805999999999996E-2</v>
      </c>
      <c r="Q15" s="7">
        <f t="shared" si="4"/>
        <v>0.62164200000000003</v>
      </c>
    </row>
    <row r="16" spans="1:17" ht="30">
      <c r="A16" s="42"/>
      <c r="B16" s="41"/>
      <c r="C16" s="36"/>
      <c r="D16" s="38"/>
      <c r="E16" s="38"/>
      <c r="F16" s="18">
        <v>186</v>
      </c>
      <c r="G16" s="12">
        <v>1</v>
      </c>
      <c r="H16" s="1">
        <f t="shared" si="0"/>
        <v>186</v>
      </c>
      <c r="I16" s="20">
        <v>15.5</v>
      </c>
      <c r="J16" s="20">
        <v>15</v>
      </c>
      <c r="K16" s="20">
        <f t="shared" si="1"/>
        <v>15.5</v>
      </c>
      <c r="L16" s="20">
        <f t="shared" si="2"/>
        <v>15</v>
      </c>
      <c r="M16" s="21" t="s">
        <v>105</v>
      </c>
      <c r="N16" s="4" t="s">
        <v>103</v>
      </c>
      <c r="O16" s="4">
        <f t="shared" si="5"/>
        <v>88806</v>
      </c>
      <c r="P16" s="7">
        <f t="shared" si="3"/>
        <v>8.8805999999999996E-2</v>
      </c>
      <c r="Q16" s="7">
        <f t="shared" si="4"/>
        <v>8.8805999999999996E-2</v>
      </c>
    </row>
    <row r="17" spans="1:17" ht="30">
      <c r="A17" s="42"/>
      <c r="B17" s="41"/>
      <c r="C17" s="35" t="s">
        <v>101</v>
      </c>
      <c r="D17" s="37">
        <v>46082</v>
      </c>
      <c r="E17" s="37">
        <v>46784</v>
      </c>
      <c r="F17" s="18">
        <v>252</v>
      </c>
      <c r="G17" s="12">
        <v>7</v>
      </c>
      <c r="H17" s="1">
        <f t="shared" si="0"/>
        <v>1764</v>
      </c>
      <c r="I17" s="20">
        <v>21</v>
      </c>
      <c r="J17" s="20">
        <v>20.5</v>
      </c>
      <c r="K17" s="20">
        <f t="shared" si="1"/>
        <v>147</v>
      </c>
      <c r="L17" s="20">
        <f t="shared" si="2"/>
        <v>143.5</v>
      </c>
      <c r="M17" s="21" t="s">
        <v>106</v>
      </c>
      <c r="N17" s="4" t="s">
        <v>103</v>
      </c>
      <c r="O17" s="4">
        <f t="shared" si="5"/>
        <v>88806</v>
      </c>
      <c r="P17" s="7">
        <f t="shared" si="3"/>
        <v>8.8805999999999996E-2</v>
      </c>
      <c r="Q17" s="7">
        <f t="shared" si="4"/>
        <v>0.62164200000000003</v>
      </c>
    </row>
    <row r="18" spans="1:17" ht="30">
      <c r="A18" s="42"/>
      <c r="B18" s="41"/>
      <c r="C18" s="36"/>
      <c r="D18" s="38"/>
      <c r="E18" s="38"/>
      <c r="F18" s="18">
        <v>186</v>
      </c>
      <c r="G18" s="12">
        <v>1</v>
      </c>
      <c r="H18" s="1">
        <f t="shared" si="0"/>
        <v>186</v>
      </c>
      <c r="I18" s="20">
        <v>15.5</v>
      </c>
      <c r="J18" s="20">
        <v>15</v>
      </c>
      <c r="K18" s="20">
        <f t="shared" si="1"/>
        <v>15.5</v>
      </c>
      <c r="L18" s="20">
        <f t="shared" si="2"/>
        <v>15</v>
      </c>
      <c r="M18" s="21" t="s">
        <v>107</v>
      </c>
      <c r="N18" s="4" t="s">
        <v>103</v>
      </c>
      <c r="O18" s="4">
        <f t="shared" si="5"/>
        <v>88806</v>
      </c>
      <c r="P18" s="7">
        <f t="shared" si="3"/>
        <v>8.8805999999999996E-2</v>
      </c>
      <c r="Q18" s="7">
        <f t="shared" si="4"/>
        <v>8.8805999999999996E-2</v>
      </c>
    </row>
    <row r="19" spans="1:17" ht="30">
      <c r="A19" s="36"/>
      <c r="B19" s="40"/>
      <c r="C19" s="18" t="s">
        <v>108</v>
      </c>
      <c r="D19" s="19">
        <v>46082</v>
      </c>
      <c r="E19" s="19">
        <v>46784</v>
      </c>
      <c r="F19" s="18">
        <v>100</v>
      </c>
      <c r="G19" s="12">
        <v>1</v>
      </c>
      <c r="H19" s="1">
        <f t="shared" si="0"/>
        <v>100</v>
      </c>
      <c r="I19" s="20">
        <v>9.5</v>
      </c>
      <c r="J19" s="20">
        <v>9</v>
      </c>
      <c r="K19" s="20">
        <f t="shared" si="1"/>
        <v>9.5</v>
      </c>
      <c r="L19" s="20">
        <f t="shared" si="2"/>
        <v>9</v>
      </c>
      <c r="M19" s="21" t="s">
        <v>109</v>
      </c>
      <c r="N19" s="4" t="s">
        <v>103</v>
      </c>
      <c r="O19" s="4">
        <f t="shared" si="5"/>
        <v>88806</v>
      </c>
      <c r="P19" s="7">
        <f t="shared" si="3"/>
        <v>8.8805999999999996E-2</v>
      </c>
      <c r="Q19" s="7">
        <f t="shared" si="4"/>
        <v>8.8805999999999996E-2</v>
      </c>
    </row>
    <row r="20" spans="1:17" ht="30">
      <c r="A20" s="35">
        <v>9</v>
      </c>
      <c r="B20" s="39" t="s">
        <v>97</v>
      </c>
      <c r="C20" s="35" t="s">
        <v>110</v>
      </c>
      <c r="D20" s="37">
        <v>46054</v>
      </c>
      <c r="E20" s="37">
        <v>46753</v>
      </c>
      <c r="F20" s="18">
        <v>128</v>
      </c>
      <c r="G20" s="12">
        <v>2</v>
      </c>
      <c r="H20" s="1">
        <f t="shared" si="0"/>
        <v>256</v>
      </c>
      <c r="I20" s="20">
        <v>7.5</v>
      </c>
      <c r="J20" s="20">
        <v>7</v>
      </c>
      <c r="K20" s="20">
        <f t="shared" si="1"/>
        <v>15</v>
      </c>
      <c r="L20" s="20">
        <f t="shared" si="2"/>
        <v>14</v>
      </c>
      <c r="M20" s="21" t="s">
        <v>111</v>
      </c>
      <c r="N20" s="4" t="s">
        <v>103</v>
      </c>
      <c r="O20" s="4">
        <f t="shared" si="5"/>
        <v>88806</v>
      </c>
      <c r="P20" s="7">
        <f t="shared" si="3"/>
        <v>8.8805999999999996E-2</v>
      </c>
      <c r="Q20" s="7">
        <f t="shared" si="4"/>
        <v>0.17761199999999999</v>
      </c>
    </row>
    <row r="21" spans="1:17" ht="30">
      <c r="A21" s="42"/>
      <c r="B21" s="41"/>
      <c r="C21" s="36"/>
      <c r="D21" s="38"/>
      <c r="E21" s="38"/>
      <c r="F21" s="18">
        <v>44</v>
      </c>
      <c r="G21" s="12">
        <v>1</v>
      </c>
      <c r="H21" s="1">
        <f t="shared" si="0"/>
        <v>44</v>
      </c>
      <c r="I21" s="20">
        <v>4</v>
      </c>
      <c r="J21" s="20">
        <v>3.7</v>
      </c>
      <c r="K21" s="20">
        <f t="shared" si="1"/>
        <v>4</v>
      </c>
      <c r="L21" s="20">
        <f t="shared" si="2"/>
        <v>3.7</v>
      </c>
      <c r="M21" s="21" t="s">
        <v>112</v>
      </c>
      <c r="N21" s="4" t="s">
        <v>103</v>
      </c>
      <c r="O21" s="4">
        <f t="shared" si="5"/>
        <v>88806</v>
      </c>
      <c r="P21" s="7">
        <f t="shared" si="3"/>
        <v>8.8805999999999996E-2</v>
      </c>
      <c r="Q21" s="7">
        <f t="shared" si="4"/>
        <v>8.8805999999999996E-2</v>
      </c>
    </row>
    <row r="22" spans="1:17" ht="30">
      <c r="A22" s="42"/>
      <c r="B22" s="41"/>
      <c r="C22" s="18" t="s">
        <v>113</v>
      </c>
      <c r="D22" s="19">
        <v>46054</v>
      </c>
      <c r="E22" s="19">
        <v>46753</v>
      </c>
      <c r="F22" s="18">
        <v>250</v>
      </c>
      <c r="G22" s="12">
        <v>1</v>
      </c>
      <c r="H22" s="1">
        <f t="shared" si="0"/>
        <v>250</v>
      </c>
      <c r="I22" s="20">
        <v>13.5</v>
      </c>
      <c r="J22" s="20">
        <v>12.9</v>
      </c>
      <c r="K22" s="20">
        <f t="shared" si="1"/>
        <v>13.5</v>
      </c>
      <c r="L22" s="20">
        <f t="shared" si="2"/>
        <v>12.9</v>
      </c>
      <c r="M22" s="21" t="s">
        <v>114</v>
      </c>
      <c r="N22" s="4" t="s">
        <v>103</v>
      </c>
      <c r="O22" s="4">
        <f t="shared" si="5"/>
        <v>88806</v>
      </c>
      <c r="P22" s="7">
        <f t="shared" si="3"/>
        <v>8.8805999999999996E-2</v>
      </c>
      <c r="Q22" s="7">
        <f t="shared" si="4"/>
        <v>8.8805999999999996E-2</v>
      </c>
    </row>
    <row r="23" spans="1:17" ht="30">
      <c r="A23" s="42"/>
      <c r="B23" s="41"/>
      <c r="C23" s="35" t="s">
        <v>115</v>
      </c>
      <c r="D23" s="37">
        <v>46082</v>
      </c>
      <c r="E23" s="37">
        <v>46784</v>
      </c>
      <c r="F23" s="18">
        <v>128</v>
      </c>
      <c r="G23" s="12">
        <v>3</v>
      </c>
      <c r="H23" s="1">
        <f t="shared" si="0"/>
        <v>384</v>
      </c>
      <c r="I23" s="20">
        <v>7.5</v>
      </c>
      <c r="J23" s="20">
        <v>7</v>
      </c>
      <c r="K23" s="20">
        <f t="shared" si="1"/>
        <v>22.5</v>
      </c>
      <c r="L23" s="20">
        <f t="shared" si="2"/>
        <v>21</v>
      </c>
      <c r="M23" s="21" t="s">
        <v>116</v>
      </c>
      <c r="N23" s="4" t="s">
        <v>103</v>
      </c>
      <c r="O23" s="4">
        <f t="shared" si="5"/>
        <v>88806</v>
      </c>
      <c r="P23" s="7">
        <f t="shared" si="3"/>
        <v>8.8805999999999996E-2</v>
      </c>
      <c r="Q23" s="7">
        <f t="shared" si="4"/>
        <v>0.26641799999999999</v>
      </c>
    </row>
    <row r="24" spans="1:17" ht="30">
      <c r="A24" s="36"/>
      <c r="B24" s="40"/>
      <c r="C24" s="36"/>
      <c r="D24" s="38"/>
      <c r="E24" s="38"/>
      <c r="F24" s="18">
        <v>66</v>
      </c>
      <c r="G24" s="12">
        <v>1</v>
      </c>
      <c r="H24" s="1">
        <f t="shared" si="0"/>
        <v>66</v>
      </c>
      <c r="I24" s="20">
        <v>5</v>
      </c>
      <c r="J24" s="20">
        <v>4.5</v>
      </c>
      <c r="K24" s="20">
        <f t="shared" si="1"/>
        <v>5</v>
      </c>
      <c r="L24" s="20">
        <f t="shared" si="2"/>
        <v>4.5</v>
      </c>
      <c r="M24" s="21" t="s">
        <v>117</v>
      </c>
      <c r="N24" s="4" t="s">
        <v>103</v>
      </c>
      <c r="O24" s="4">
        <f t="shared" si="5"/>
        <v>88806</v>
      </c>
      <c r="P24" s="7">
        <f t="shared" si="3"/>
        <v>8.8805999999999996E-2</v>
      </c>
      <c r="Q24" s="7">
        <f t="shared" si="4"/>
        <v>8.8805999999999996E-2</v>
      </c>
    </row>
    <row r="25" spans="1:17" ht="30">
      <c r="A25" s="35">
        <v>10</v>
      </c>
      <c r="B25" s="39" t="s">
        <v>98</v>
      </c>
      <c r="C25" s="18" t="s">
        <v>118</v>
      </c>
      <c r="D25" s="19">
        <v>46023</v>
      </c>
      <c r="E25" s="19">
        <v>46722</v>
      </c>
      <c r="F25" s="18">
        <v>33</v>
      </c>
      <c r="G25" s="12">
        <v>1</v>
      </c>
      <c r="H25" s="1">
        <f t="shared" si="0"/>
        <v>33</v>
      </c>
      <c r="I25" s="20">
        <v>4.5</v>
      </c>
      <c r="J25" s="20">
        <v>3.9</v>
      </c>
      <c r="K25" s="20">
        <f t="shared" si="1"/>
        <v>4.5</v>
      </c>
      <c r="L25" s="20">
        <f t="shared" si="2"/>
        <v>3.9</v>
      </c>
      <c r="M25" s="21" t="s">
        <v>119</v>
      </c>
      <c r="N25" s="4" t="s">
        <v>120</v>
      </c>
      <c r="O25" s="4">
        <f>41*26*33</f>
        <v>35178</v>
      </c>
      <c r="P25" s="7">
        <f t="shared" si="3"/>
        <v>3.5178000000000001E-2</v>
      </c>
      <c r="Q25" s="7">
        <f t="shared" si="4"/>
        <v>3.5178000000000001E-2</v>
      </c>
    </row>
    <row r="26" spans="1:17" ht="30">
      <c r="A26" s="36"/>
      <c r="B26" s="40"/>
      <c r="C26" s="18" t="s">
        <v>174</v>
      </c>
      <c r="D26" s="19">
        <v>46082</v>
      </c>
      <c r="E26" s="19">
        <v>46784</v>
      </c>
      <c r="F26" s="18">
        <v>180</v>
      </c>
      <c r="G26" s="12">
        <v>5</v>
      </c>
      <c r="H26" s="1">
        <f t="shared" si="0"/>
        <v>900</v>
      </c>
      <c r="I26" s="20">
        <v>23</v>
      </c>
      <c r="J26" s="20">
        <v>22</v>
      </c>
      <c r="K26" s="20">
        <f t="shared" si="1"/>
        <v>115</v>
      </c>
      <c r="L26" s="20">
        <f t="shared" si="2"/>
        <v>110</v>
      </c>
      <c r="M26" s="21" t="s">
        <v>121</v>
      </c>
      <c r="N26" s="4" t="s">
        <v>103</v>
      </c>
      <c r="O26" s="4">
        <f>57*38*41</f>
        <v>88806</v>
      </c>
      <c r="P26" s="7">
        <f t="shared" si="3"/>
        <v>8.8805999999999996E-2</v>
      </c>
      <c r="Q26" s="7">
        <f t="shared" si="4"/>
        <v>0.44402999999999998</v>
      </c>
    </row>
    <row r="27" spans="1:17" ht="30">
      <c r="A27" s="35">
        <v>11</v>
      </c>
      <c r="B27" s="39" t="s">
        <v>99</v>
      </c>
      <c r="C27" s="35" t="s">
        <v>122</v>
      </c>
      <c r="D27" s="37">
        <v>46082</v>
      </c>
      <c r="E27" s="37">
        <v>46784</v>
      </c>
      <c r="F27" s="18">
        <v>1400</v>
      </c>
      <c r="G27" s="12">
        <v>7</v>
      </c>
      <c r="H27" s="1">
        <f t="shared" si="0"/>
        <v>9800</v>
      </c>
      <c r="I27" s="20">
        <v>10.5</v>
      </c>
      <c r="J27" s="20">
        <v>9.9</v>
      </c>
      <c r="K27" s="20">
        <f t="shared" si="1"/>
        <v>73.5</v>
      </c>
      <c r="L27" s="20">
        <f t="shared" si="2"/>
        <v>69.3</v>
      </c>
      <c r="M27" s="21" t="s">
        <v>123</v>
      </c>
      <c r="N27" s="4" t="s">
        <v>103</v>
      </c>
      <c r="O27" s="4">
        <f>57*38*41</f>
        <v>88806</v>
      </c>
      <c r="P27" s="7">
        <f t="shared" si="3"/>
        <v>8.8805999999999996E-2</v>
      </c>
      <c r="Q27" s="7">
        <f t="shared" si="4"/>
        <v>0.62164200000000003</v>
      </c>
    </row>
    <row r="28" spans="1:17" ht="30">
      <c r="A28" s="36"/>
      <c r="B28" s="40"/>
      <c r="C28" s="36"/>
      <c r="D28" s="38"/>
      <c r="E28" s="38"/>
      <c r="F28" s="18">
        <v>200</v>
      </c>
      <c r="G28" s="12">
        <v>1</v>
      </c>
      <c r="H28" s="1">
        <f t="shared" si="0"/>
        <v>200</v>
      </c>
      <c r="I28" s="20">
        <v>2</v>
      </c>
      <c r="J28" s="20">
        <v>1.6</v>
      </c>
      <c r="K28" s="20">
        <f t="shared" si="1"/>
        <v>2</v>
      </c>
      <c r="L28" s="20">
        <f t="shared" si="2"/>
        <v>1.6</v>
      </c>
      <c r="M28" s="21" t="s">
        <v>124</v>
      </c>
      <c r="N28" s="4" t="s">
        <v>125</v>
      </c>
      <c r="O28" s="4">
        <f>26*24*21</f>
        <v>13104</v>
      </c>
      <c r="P28" s="7">
        <f t="shared" si="3"/>
        <v>1.3103999999999999E-2</v>
      </c>
      <c r="Q28" s="7">
        <f t="shared" si="4"/>
        <v>1.3103999999999999E-2</v>
      </c>
    </row>
    <row r="29" spans="1:17" ht="30">
      <c r="A29" s="35">
        <v>12</v>
      </c>
      <c r="B29" s="39" t="s">
        <v>100</v>
      </c>
      <c r="C29" s="18" t="s">
        <v>126</v>
      </c>
      <c r="D29" s="19">
        <v>46023</v>
      </c>
      <c r="E29" s="19">
        <v>46722</v>
      </c>
      <c r="F29" s="18">
        <v>500</v>
      </c>
      <c r="G29" s="12">
        <v>2</v>
      </c>
      <c r="H29" s="1">
        <f t="shared" si="0"/>
        <v>1000</v>
      </c>
      <c r="I29" s="20">
        <v>14.5</v>
      </c>
      <c r="J29" s="20">
        <v>14</v>
      </c>
      <c r="K29" s="20">
        <f t="shared" si="1"/>
        <v>29</v>
      </c>
      <c r="L29" s="20">
        <f t="shared" si="2"/>
        <v>28</v>
      </c>
      <c r="M29" s="21" t="s">
        <v>127</v>
      </c>
      <c r="N29" s="4" t="s">
        <v>103</v>
      </c>
      <c r="O29" s="4">
        <f>57*38*41</f>
        <v>88806</v>
      </c>
      <c r="P29" s="7">
        <f t="shared" si="3"/>
        <v>8.8805999999999996E-2</v>
      </c>
      <c r="Q29" s="7">
        <f t="shared" si="4"/>
        <v>0.17761199999999999</v>
      </c>
    </row>
    <row r="30" spans="1:17" ht="30">
      <c r="A30" s="42"/>
      <c r="B30" s="41"/>
      <c r="C30" s="35" t="s">
        <v>175</v>
      </c>
      <c r="D30" s="37">
        <v>46082</v>
      </c>
      <c r="E30" s="37">
        <v>46784</v>
      </c>
      <c r="F30" s="18">
        <v>360</v>
      </c>
      <c r="G30" s="12">
        <v>21</v>
      </c>
      <c r="H30" s="1">
        <f t="shared" si="0"/>
        <v>7560</v>
      </c>
      <c r="I30" s="20">
        <v>10.5</v>
      </c>
      <c r="J30" s="20">
        <v>9.9</v>
      </c>
      <c r="K30" s="20">
        <f t="shared" si="1"/>
        <v>220.5</v>
      </c>
      <c r="L30" s="20">
        <f t="shared" si="2"/>
        <v>207.9</v>
      </c>
      <c r="M30" s="21" t="s">
        <v>128</v>
      </c>
      <c r="N30" s="4" t="s">
        <v>103</v>
      </c>
      <c r="O30" s="4">
        <f>57*38*41</f>
        <v>88806</v>
      </c>
      <c r="P30" s="7">
        <f t="shared" si="3"/>
        <v>8.8805999999999996E-2</v>
      </c>
      <c r="Q30" s="7">
        <f t="shared" si="4"/>
        <v>1.8649259999999999</v>
      </c>
    </row>
    <row r="31" spans="1:17" ht="30">
      <c r="A31" s="36"/>
      <c r="B31" s="40"/>
      <c r="C31" s="36"/>
      <c r="D31" s="38"/>
      <c r="E31" s="38"/>
      <c r="F31" s="18">
        <v>90</v>
      </c>
      <c r="G31" s="12">
        <v>1</v>
      </c>
      <c r="H31" s="1">
        <f t="shared" si="0"/>
        <v>90</v>
      </c>
      <c r="I31" s="20">
        <v>4.5</v>
      </c>
      <c r="J31" s="20">
        <v>3.9</v>
      </c>
      <c r="K31" s="20">
        <f t="shared" si="1"/>
        <v>4.5</v>
      </c>
      <c r="L31" s="20">
        <f t="shared" si="2"/>
        <v>3.9</v>
      </c>
      <c r="M31" s="21" t="s">
        <v>129</v>
      </c>
      <c r="N31" s="4" t="s">
        <v>103</v>
      </c>
      <c r="O31" s="4">
        <f>57*38*41</f>
        <v>88806</v>
      </c>
      <c r="P31" s="7">
        <f t="shared" si="3"/>
        <v>8.8805999999999996E-2</v>
      </c>
      <c r="Q31" s="7">
        <f t="shared" si="4"/>
        <v>8.8805999999999996E-2</v>
      </c>
    </row>
    <row r="32" spans="1:17" ht="30">
      <c r="A32" s="18">
        <v>13</v>
      </c>
      <c r="B32" s="1" t="s">
        <v>164</v>
      </c>
      <c r="C32" s="18" t="s">
        <v>165</v>
      </c>
      <c r="D32" s="19">
        <v>45931</v>
      </c>
      <c r="E32" s="19">
        <v>46631</v>
      </c>
      <c r="F32" s="18">
        <v>60</v>
      </c>
      <c r="G32" s="12">
        <v>5</v>
      </c>
      <c r="H32" s="1">
        <f t="shared" si="0"/>
        <v>300</v>
      </c>
      <c r="I32" s="20">
        <v>8.5</v>
      </c>
      <c r="J32" s="20">
        <v>7.9</v>
      </c>
      <c r="K32" s="20">
        <f t="shared" si="1"/>
        <v>42.5</v>
      </c>
      <c r="L32" s="20">
        <f t="shared" si="2"/>
        <v>39.5</v>
      </c>
      <c r="M32" s="21" t="s">
        <v>166</v>
      </c>
      <c r="N32" s="4" t="s">
        <v>167</v>
      </c>
      <c r="O32" s="4">
        <f>35*23*28</f>
        <v>22540</v>
      </c>
      <c r="P32" s="7">
        <f t="shared" si="3"/>
        <v>2.2540000000000001E-2</v>
      </c>
      <c r="Q32" s="7">
        <f t="shared" si="4"/>
        <v>0.11270000000000001</v>
      </c>
    </row>
    <row r="33" spans="1:17" ht="30">
      <c r="A33" s="18">
        <v>14</v>
      </c>
      <c r="B33" s="28" t="s">
        <v>75</v>
      </c>
      <c r="C33" s="25" t="s">
        <v>80</v>
      </c>
      <c r="D33" s="26">
        <v>45992</v>
      </c>
      <c r="E33" s="26">
        <v>46692</v>
      </c>
      <c r="F33" s="18">
        <v>12000</v>
      </c>
      <c r="G33" s="12">
        <v>1</v>
      </c>
      <c r="H33" s="1">
        <f t="shared" ref="H33:H49" si="6">F33*G33</f>
        <v>12000</v>
      </c>
      <c r="I33" s="20">
        <v>10</v>
      </c>
      <c r="J33" s="20">
        <v>9.5</v>
      </c>
      <c r="K33" s="20">
        <f t="shared" ref="K33:K49" si="7">G33*I33</f>
        <v>10</v>
      </c>
      <c r="L33" s="20">
        <f t="shared" ref="L33:L49" si="8">G33*J33</f>
        <v>9.5</v>
      </c>
      <c r="M33" s="21" t="s">
        <v>176</v>
      </c>
      <c r="N33" s="4" t="s">
        <v>83</v>
      </c>
      <c r="O33" s="4">
        <f>33*37*30</f>
        <v>36630</v>
      </c>
      <c r="P33" s="7">
        <f t="shared" ref="P33:P49" si="9">O33/1000000</f>
        <v>3.6630000000000003E-2</v>
      </c>
      <c r="Q33" s="7">
        <f t="shared" ref="Q33:Q49" si="10">P33*G33</f>
        <v>3.6630000000000003E-2</v>
      </c>
    </row>
    <row r="34" spans="1:17" ht="30">
      <c r="A34" s="35">
        <v>15</v>
      </c>
      <c r="B34" s="39" t="s">
        <v>189</v>
      </c>
      <c r="C34" s="35" t="s">
        <v>190</v>
      </c>
      <c r="D34" s="37">
        <v>46054</v>
      </c>
      <c r="E34" s="37">
        <v>46753</v>
      </c>
      <c r="F34" s="18">
        <v>5400</v>
      </c>
      <c r="G34" s="12">
        <v>1</v>
      </c>
      <c r="H34" s="1">
        <f t="shared" si="6"/>
        <v>5400</v>
      </c>
      <c r="I34" s="20">
        <v>7.5</v>
      </c>
      <c r="J34" s="20">
        <v>7</v>
      </c>
      <c r="K34" s="20">
        <f t="shared" si="7"/>
        <v>7.5</v>
      </c>
      <c r="L34" s="20">
        <f t="shared" si="8"/>
        <v>7</v>
      </c>
      <c r="M34" s="21" t="s">
        <v>191</v>
      </c>
      <c r="N34" s="4" t="s">
        <v>192</v>
      </c>
      <c r="O34" s="4">
        <f>50*37*32</f>
        <v>59200</v>
      </c>
      <c r="P34" s="7">
        <f t="shared" si="9"/>
        <v>5.9200000000000003E-2</v>
      </c>
      <c r="Q34" s="7">
        <f t="shared" si="10"/>
        <v>5.9200000000000003E-2</v>
      </c>
    </row>
    <row r="35" spans="1:17" ht="30">
      <c r="A35" s="36"/>
      <c r="B35" s="40"/>
      <c r="C35" s="36"/>
      <c r="D35" s="38"/>
      <c r="E35" s="38"/>
      <c r="F35" s="18">
        <v>4600</v>
      </c>
      <c r="G35" s="12">
        <v>1</v>
      </c>
      <c r="H35" s="1">
        <f t="shared" si="6"/>
        <v>4600</v>
      </c>
      <c r="I35" s="20">
        <v>6.5</v>
      </c>
      <c r="J35" s="20">
        <v>6</v>
      </c>
      <c r="K35" s="20">
        <f t="shared" si="7"/>
        <v>6.5</v>
      </c>
      <c r="L35" s="20">
        <f t="shared" si="8"/>
        <v>6</v>
      </c>
      <c r="M35" s="21" t="s">
        <v>193</v>
      </c>
      <c r="N35" s="4" t="s">
        <v>192</v>
      </c>
      <c r="O35" s="4">
        <f>50*37*32</f>
        <v>59200</v>
      </c>
      <c r="P35" s="7">
        <f t="shared" si="9"/>
        <v>5.9200000000000003E-2</v>
      </c>
      <c r="Q35" s="7">
        <f t="shared" si="10"/>
        <v>5.9200000000000003E-2</v>
      </c>
    </row>
    <row r="36" spans="1:17" ht="30">
      <c r="A36" s="35">
        <v>16</v>
      </c>
      <c r="B36" s="39" t="s">
        <v>194</v>
      </c>
      <c r="C36" s="35" t="s">
        <v>209</v>
      </c>
      <c r="D36" s="37">
        <v>46054</v>
      </c>
      <c r="E36" s="37">
        <v>46753</v>
      </c>
      <c r="F36" s="18">
        <v>2880</v>
      </c>
      <c r="G36" s="12">
        <v>1</v>
      </c>
      <c r="H36" s="1">
        <f t="shared" si="6"/>
        <v>2880</v>
      </c>
      <c r="I36" s="20">
        <v>15.5</v>
      </c>
      <c r="J36" s="20">
        <v>15</v>
      </c>
      <c r="K36" s="20">
        <f t="shared" si="7"/>
        <v>15.5</v>
      </c>
      <c r="L36" s="20">
        <f t="shared" si="8"/>
        <v>15</v>
      </c>
      <c r="M36" s="21" t="s">
        <v>197</v>
      </c>
      <c r="N36" s="4" t="s">
        <v>198</v>
      </c>
      <c r="O36" s="4">
        <f>54*38*38</f>
        <v>77976</v>
      </c>
      <c r="P36" s="7">
        <f t="shared" si="9"/>
        <v>7.7976000000000004E-2</v>
      </c>
      <c r="Q36" s="7">
        <f t="shared" si="10"/>
        <v>7.7976000000000004E-2</v>
      </c>
    </row>
    <row r="37" spans="1:17" ht="30">
      <c r="A37" s="36"/>
      <c r="B37" s="40"/>
      <c r="C37" s="36"/>
      <c r="D37" s="38"/>
      <c r="E37" s="38"/>
      <c r="F37" s="18">
        <v>2120</v>
      </c>
      <c r="G37" s="12">
        <v>1</v>
      </c>
      <c r="H37" s="1">
        <f t="shared" si="6"/>
        <v>2120</v>
      </c>
      <c r="I37" s="20">
        <v>11.5</v>
      </c>
      <c r="J37" s="20">
        <v>11</v>
      </c>
      <c r="K37" s="20">
        <f t="shared" si="7"/>
        <v>11.5</v>
      </c>
      <c r="L37" s="20">
        <f t="shared" si="8"/>
        <v>11</v>
      </c>
      <c r="M37" s="21" t="s">
        <v>199</v>
      </c>
      <c r="N37" s="4" t="s">
        <v>198</v>
      </c>
      <c r="O37" s="4">
        <f>54*38*38</f>
        <v>77976</v>
      </c>
      <c r="P37" s="7">
        <f t="shared" si="9"/>
        <v>7.7976000000000004E-2</v>
      </c>
      <c r="Q37" s="7">
        <f t="shared" si="10"/>
        <v>7.7976000000000004E-2</v>
      </c>
    </row>
    <row r="38" spans="1:17" ht="30">
      <c r="A38" s="35">
        <v>17</v>
      </c>
      <c r="B38" s="39" t="s">
        <v>195</v>
      </c>
      <c r="C38" s="25" t="s">
        <v>210</v>
      </c>
      <c r="D38" s="26">
        <v>46054</v>
      </c>
      <c r="E38" s="26">
        <v>46753</v>
      </c>
      <c r="F38" s="18">
        <v>1000</v>
      </c>
      <c r="G38" s="12">
        <v>1</v>
      </c>
      <c r="H38" s="1">
        <f t="shared" si="6"/>
        <v>1000</v>
      </c>
      <c r="I38" s="20">
        <v>6</v>
      </c>
      <c r="J38" s="20">
        <v>5.5</v>
      </c>
      <c r="K38" s="20">
        <f t="shared" si="7"/>
        <v>6</v>
      </c>
      <c r="L38" s="20">
        <f t="shared" si="8"/>
        <v>5.5</v>
      </c>
      <c r="M38" s="21" t="s">
        <v>200</v>
      </c>
      <c r="N38" s="4" t="s">
        <v>201</v>
      </c>
      <c r="O38" s="4">
        <f>50*38*27</f>
        <v>51300</v>
      </c>
      <c r="P38" s="7">
        <f t="shared" si="9"/>
        <v>5.1299999999999998E-2</v>
      </c>
      <c r="Q38" s="7">
        <f t="shared" si="10"/>
        <v>5.1299999999999998E-2</v>
      </c>
    </row>
    <row r="39" spans="1:17" ht="30">
      <c r="A39" s="42"/>
      <c r="B39" s="41"/>
      <c r="C39" s="25" t="s">
        <v>211</v>
      </c>
      <c r="D39" s="26">
        <v>45809</v>
      </c>
      <c r="E39" s="26">
        <v>46508</v>
      </c>
      <c r="F39" s="18">
        <v>50</v>
      </c>
      <c r="G39" s="12">
        <v>1</v>
      </c>
      <c r="H39" s="1">
        <f t="shared" si="6"/>
        <v>50</v>
      </c>
      <c r="I39" s="20">
        <v>1</v>
      </c>
      <c r="J39" s="20">
        <v>0.9</v>
      </c>
      <c r="K39" s="20">
        <f t="shared" si="7"/>
        <v>1</v>
      </c>
      <c r="L39" s="20">
        <f t="shared" si="8"/>
        <v>0.9</v>
      </c>
      <c r="M39" s="21" t="s">
        <v>202</v>
      </c>
      <c r="N39" s="4" t="s">
        <v>58</v>
      </c>
      <c r="O39" s="4">
        <f>18*18*17</f>
        <v>5508</v>
      </c>
      <c r="P39" s="7">
        <f t="shared" si="9"/>
        <v>5.5079999999999999E-3</v>
      </c>
      <c r="Q39" s="7">
        <f t="shared" si="10"/>
        <v>5.5079999999999999E-3</v>
      </c>
    </row>
    <row r="40" spans="1:17" ht="30">
      <c r="A40" s="42"/>
      <c r="B40" s="41"/>
      <c r="C40" s="25" t="s">
        <v>212</v>
      </c>
      <c r="D40" s="26">
        <v>45901</v>
      </c>
      <c r="E40" s="26">
        <v>46600</v>
      </c>
      <c r="F40" s="18">
        <v>1450</v>
      </c>
      <c r="G40" s="12">
        <v>1</v>
      </c>
      <c r="H40" s="1">
        <f t="shared" si="6"/>
        <v>1450</v>
      </c>
      <c r="I40" s="20">
        <v>8</v>
      </c>
      <c r="J40" s="20">
        <v>7.5</v>
      </c>
      <c r="K40" s="20">
        <f t="shared" si="7"/>
        <v>8</v>
      </c>
      <c r="L40" s="20">
        <f t="shared" si="8"/>
        <v>7.5</v>
      </c>
      <c r="M40" s="21" t="s">
        <v>203</v>
      </c>
      <c r="N40" s="4" t="s">
        <v>201</v>
      </c>
      <c r="O40" s="4">
        <f>50*38*27</f>
        <v>51300</v>
      </c>
      <c r="P40" s="7">
        <f t="shared" si="9"/>
        <v>5.1299999999999998E-2</v>
      </c>
      <c r="Q40" s="7">
        <f t="shared" si="10"/>
        <v>5.1299999999999998E-2</v>
      </c>
    </row>
    <row r="41" spans="1:17" ht="30">
      <c r="A41" s="36"/>
      <c r="B41" s="40"/>
      <c r="C41" s="25" t="s">
        <v>213</v>
      </c>
      <c r="D41" s="26">
        <v>45992</v>
      </c>
      <c r="E41" s="26">
        <v>46692</v>
      </c>
      <c r="F41" s="18">
        <v>2500</v>
      </c>
      <c r="G41" s="12">
        <v>1</v>
      </c>
      <c r="H41" s="1">
        <f t="shared" si="6"/>
        <v>2500</v>
      </c>
      <c r="I41" s="20">
        <v>14.5</v>
      </c>
      <c r="J41" s="20">
        <v>14</v>
      </c>
      <c r="K41" s="20">
        <f t="shared" si="7"/>
        <v>14.5</v>
      </c>
      <c r="L41" s="20">
        <f t="shared" si="8"/>
        <v>14</v>
      </c>
      <c r="M41" s="21" t="s">
        <v>204</v>
      </c>
      <c r="N41" s="4" t="s">
        <v>205</v>
      </c>
      <c r="O41" s="4">
        <f>56*41*38</f>
        <v>87248</v>
      </c>
      <c r="P41" s="7">
        <f t="shared" si="9"/>
        <v>8.7248000000000006E-2</v>
      </c>
      <c r="Q41" s="7">
        <f t="shared" si="10"/>
        <v>8.7248000000000006E-2</v>
      </c>
    </row>
    <row r="42" spans="1:17" ht="30">
      <c r="A42" s="35">
        <v>18</v>
      </c>
      <c r="B42" s="39" t="s">
        <v>189</v>
      </c>
      <c r="C42" s="35" t="s">
        <v>206</v>
      </c>
      <c r="D42" s="37">
        <v>46023</v>
      </c>
      <c r="E42" s="37">
        <v>46722</v>
      </c>
      <c r="F42" s="18">
        <v>25300</v>
      </c>
      <c r="G42" s="12">
        <v>1</v>
      </c>
      <c r="H42" s="1">
        <f t="shared" si="6"/>
        <v>25300</v>
      </c>
      <c r="I42" s="20">
        <v>12</v>
      </c>
      <c r="J42" s="20">
        <v>11.5</v>
      </c>
      <c r="K42" s="20">
        <f t="shared" si="7"/>
        <v>12</v>
      </c>
      <c r="L42" s="20">
        <f t="shared" si="8"/>
        <v>11.5</v>
      </c>
      <c r="M42" s="21" t="s">
        <v>207</v>
      </c>
      <c r="N42" s="4" t="s">
        <v>208</v>
      </c>
      <c r="O42" s="4">
        <f>54*42*30</f>
        <v>68040</v>
      </c>
      <c r="P42" s="7">
        <f t="shared" si="9"/>
        <v>6.8040000000000003E-2</v>
      </c>
      <c r="Q42" s="7">
        <f t="shared" si="10"/>
        <v>6.8040000000000003E-2</v>
      </c>
    </row>
    <row r="43" spans="1:17" ht="30">
      <c r="A43" s="36"/>
      <c r="B43" s="40"/>
      <c r="C43" s="36"/>
      <c r="D43" s="38"/>
      <c r="E43" s="38"/>
      <c r="F43" s="18">
        <v>14700</v>
      </c>
      <c r="G43" s="12">
        <v>1</v>
      </c>
      <c r="H43" s="1">
        <f t="shared" si="6"/>
        <v>14700</v>
      </c>
      <c r="I43" s="20">
        <v>7.5</v>
      </c>
      <c r="J43" s="20">
        <v>7</v>
      </c>
      <c r="K43" s="20">
        <f t="shared" si="7"/>
        <v>7.5</v>
      </c>
      <c r="L43" s="20">
        <f t="shared" si="8"/>
        <v>7</v>
      </c>
      <c r="M43" s="21" t="s">
        <v>214</v>
      </c>
      <c r="N43" s="4" t="s">
        <v>215</v>
      </c>
      <c r="O43" s="4">
        <f>43*34*27</f>
        <v>39474</v>
      </c>
      <c r="P43" s="7">
        <f t="shared" si="9"/>
        <v>3.9474000000000002E-2</v>
      </c>
      <c r="Q43" s="7">
        <f t="shared" si="10"/>
        <v>3.9474000000000002E-2</v>
      </c>
    </row>
    <row r="44" spans="1:17" ht="30">
      <c r="A44" s="32">
        <v>19</v>
      </c>
      <c r="B44" s="29" t="s">
        <v>223</v>
      </c>
      <c r="C44" s="35" t="s">
        <v>224</v>
      </c>
      <c r="D44" s="37">
        <v>46054</v>
      </c>
      <c r="E44" s="37">
        <v>46753</v>
      </c>
      <c r="F44" s="18">
        <v>162</v>
      </c>
      <c r="G44" s="12">
        <v>3</v>
      </c>
      <c r="H44" s="1">
        <f t="shared" si="6"/>
        <v>486</v>
      </c>
      <c r="I44" s="20">
        <v>10</v>
      </c>
      <c r="J44" s="20">
        <v>9.5</v>
      </c>
      <c r="K44" s="20">
        <f t="shared" si="7"/>
        <v>30</v>
      </c>
      <c r="L44" s="20">
        <f t="shared" si="8"/>
        <v>28.5</v>
      </c>
      <c r="M44" s="21" t="s">
        <v>225</v>
      </c>
      <c r="N44" s="4" t="s">
        <v>226</v>
      </c>
      <c r="O44" s="4">
        <f>50*30*34</f>
        <v>51000</v>
      </c>
      <c r="P44" s="7">
        <f t="shared" si="9"/>
        <v>5.0999999999999997E-2</v>
      </c>
      <c r="Q44" s="7">
        <f t="shared" si="10"/>
        <v>0.153</v>
      </c>
    </row>
    <row r="45" spans="1:17" ht="30">
      <c r="A45" s="33"/>
      <c r="B45" s="30"/>
      <c r="C45" s="36"/>
      <c r="D45" s="38"/>
      <c r="E45" s="38"/>
      <c r="F45" s="18">
        <v>74</v>
      </c>
      <c r="G45" s="12">
        <v>1</v>
      </c>
      <c r="H45" s="1">
        <f t="shared" si="6"/>
        <v>74</v>
      </c>
      <c r="I45" s="20">
        <v>4.5</v>
      </c>
      <c r="J45" s="20">
        <v>3.9</v>
      </c>
      <c r="K45" s="20">
        <f t="shared" si="7"/>
        <v>4.5</v>
      </c>
      <c r="L45" s="20">
        <f t="shared" si="8"/>
        <v>3.9</v>
      </c>
      <c r="M45" s="21" t="s">
        <v>227</v>
      </c>
      <c r="N45" s="4" t="s">
        <v>226</v>
      </c>
      <c r="O45" s="4">
        <f>50*30*34</f>
        <v>51000</v>
      </c>
      <c r="P45" s="7">
        <f t="shared" si="9"/>
        <v>5.0999999999999997E-2</v>
      </c>
      <c r="Q45" s="7">
        <f t="shared" si="10"/>
        <v>5.0999999999999997E-2</v>
      </c>
    </row>
    <row r="46" spans="1:17" ht="30">
      <c r="A46" s="33"/>
      <c r="B46" s="30"/>
      <c r="C46" s="35" t="s">
        <v>234</v>
      </c>
      <c r="D46" s="37">
        <v>46054</v>
      </c>
      <c r="E46" s="37">
        <v>46753</v>
      </c>
      <c r="F46" s="18">
        <v>162</v>
      </c>
      <c r="G46" s="12">
        <v>13</v>
      </c>
      <c r="H46" s="1">
        <f t="shared" si="6"/>
        <v>2106</v>
      </c>
      <c r="I46" s="20">
        <v>10</v>
      </c>
      <c r="J46" s="20">
        <v>9.5</v>
      </c>
      <c r="K46" s="20">
        <f t="shared" si="7"/>
        <v>130</v>
      </c>
      <c r="L46" s="20">
        <f t="shared" si="8"/>
        <v>123.5</v>
      </c>
      <c r="M46" s="21" t="s">
        <v>230</v>
      </c>
      <c r="N46" s="4" t="s">
        <v>226</v>
      </c>
      <c r="O46" s="4">
        <f>50*30*34</f>
        <v>51000</v>
      </c>
      <c r="P46" s="7">
        <f t="shared" si="9"/>
        <v>5.0999999999999997E-2</v>
      </c>
      <c r="Q46" s="7">
        <f t="shared" si="10"/>
        <v>0.66299999999999992</v>
      </c>
    </row>
    <row r="47" spans="1:17" ht="30">
      <c r="A47" s="33"/>
      <c r="B47" s="30"/>
      <c r="C47" s="36"/>
      <c r="D47" s="38"/>
      <c r="E47" s="38"/>
      <c r="F47" s="18">
        <v>124</v>
      </c>
      <c r="G47" s="12">
        <v>1</v>
      </c>
      <c r="H47" s="1">
        <f t="shared" si="6"/>
        <v>124</v>
      </c>
      <c r="I47" s="20">
        <v>8</v>
      </c>
      <c r="J47" s="20">
        <v>7.5</v>
      </c>
      <c r="K47" s="20">
        <f t="shared" si="7"/>
        <v>8</v>
      </c>
      <c r="L47" s="20">
        <f t="shared" si="8"/>
        <v>7.5</v>
      </c>
      <c r="M47" s="21" t="s">
        <v>231</v>
      </c>
      <c r="N47" s="4" t="s">
        <v>226</v>
      </c>
      <c r="O47" s="4">
        <f>50*30*34</f>
        <v>51000</v>
      </c>
      <c r="P47" s="7">
        <f t="shared" si="9"/>
        <v>5.0999999999999997E-2</v>
      </c>
      <c r="Q47" s="7">
        <f t="shared" si="10"/>
        <v>5.0999999999999997E-2</v>
      </c>
    </row>
    <row r="48" spans="1:17" ht="30">
      <c r="A48" s="33"/>
      <c r="B48" s="30"/>
      <c r="C48" s="35" t="s">
        <v>235</v>
      </c>
      <c r="D48" s="37">
        <v>46023</v>
      </c>
      <c r="E48" s="37">
        <v>46722</v>
      </c>
      <c r="F48" s="18">
        <v>180</v>
      </c>
      <c r="G48" s="12">
        <v>12</v>
      </c>
      <c r="H48" s="1">
        <f t="shared" si="6"/>
        <v>2160</v>
      </c>
      <c r="I48" s="20">
        <v>11</v>
      </c>
      <c r="J48" s="20">
        <v>10.5</v>
      </c>
      <c r="K48" s="20">
        <f t="shared" si="7"/>
        <v>132</v>
      </c>
      <c r="L48" s="20">
        <f t="shared" si="8"/>
        <v>126</v>
      </c>
      <c r="M48" s="21" t="s">
        <v>232</v>
      </c>
      <c r="N48" s="4" t="s">
        <v>228</v>
      </c>
      <c r="O48" s="4">
        <f>48*21*27</f>
        <v>27216</v>
      </c>
      <c r="P48" s="7">
        <f t="shared" si="9"/>
        <v>2.7216000000000001E-2</v>
      </c>
      <c r="Q48" s="7">
        <f t="shared" si="10"/>
        <v>0.32659199999999999</v>
      </c>
    </row>
    <row r="49" spans="1:17" ht="30">
      <c r="A49" s="34"/>
      <c r="B49" s="31"/>
      <c r="C49" s="36"/>
      <c r="D49" s="38"/>
      <c r="E49" s="38"/>
      <c r="F49" s="18">
        <v>50</v>
      </c>
      <c r="G49" s="12">
        <v>1</v>
      </c>
      <c r="H49" s="1">
        <f t="shared" si="6"/>
        <v>50</v>
      </c>
      <c r="I49" s="20">
        <v>3.5</v>
      </c>
      <c r="J49" s="20">
        <v>3</v>
      </c>
      <c r="K49" s="20">
        <f t="shared" si="7"/>
        <v>3.5</v>
      </c>
      <c r="L49" s="20">
        <f t="shared" si="8"/>
        <v>3</v>
      </c>
      <c r="M49" s="21" t="s">
        <v>233</v>
      </c>
      <c r="N49" s="4" t="s">
        <v>229</v>
      </c>
      <c r="O49" s="4">
        <f>25*26*28</f>
        <v>18200</v>
      </c>
      <c r="P49" s="7">
        <f t="shared" si="9"/>
        <v>1.8200000000000001E-2</v>
      </c>
      <c r="Q49" s="7">
        <f t="shared" si="10"/>
        <v>1.8200000000000001E-2</v>
      </c>
    </row>
    <row r="50" spans="1:17">
      <c r="A50" s="2"/>
      <c r="B50" s="4"/>
      <c r="C50" s="9"/>
      <c r="D50" s="9"/>
      <c r="E50" s="9"/>
      <c r="F50" s="9"/>
      <c r="G50" s="13">
        <f>SUM(G2:G49)</f>
        <v>544</v>
      </c>
      <c r="H50" s="10"/>
      <c r="I50" s="10"/>
      <c r="J50" s="10"/>
      <c r="K50" s="10">
        <f>SUM(K2:K45)</f>
        <v>8579.5</v>
      </c>
      <c r="L50" s="10">
        <f>SUM(L2:L45)</f>
        <v>8116.6999999999971</v>
      </c>
      <c r="M50" s="10"/>
      <c r="N50" s="10"/>
      <c r="O50" s="10"/>
      <c r="P50" s="16">
        <f>SUM(P2:P44)</f>
        <v>2.7871459999999995</v>
      </c>
      <c r="Q50" s="16">
        <f>SUM(Q2:Q44)</f>
        <v>119.08729200000005</v>
      </c>
    </row>
  </sheetData>
  <mergeCells count="81">
    <mergeCell ref="B6:B8"/>
    <mergeCell ref="A6:A8"/>
    <mergeCell ref="C7:C8"/>
    <mergeCell ref="D7:D8"/>
    <mergeCell ref="E7:E8"/>
    <mergeCell ref="A4:A5"/>
    <mergeCell ref="B4:B5"/>
    <mergeCell ref="C4:C5"/>
    <mergeCell ref="D4:D5"/>
    <mergeCell ref="E4:E5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A15:A19"/>
    <mergeCell ref="C17:C18"/>
    <mergeCell ref="D17:D18"/>
    <mergeCell ref="E17:E18"/>
    <mergeCell ref="B15:B19"/>
    <mergeCell ref="C15:C16"/>
    <mergeCell ref="D15:D16"/>
    <mergeCell ref="E15:E16"/>
    <mergeCell ref="A13:A14"/>
    <mergeCell ref="B13:B14"/>
    <mergeCell ref="C13:C14"/>
    <mergeCell ref="D13:D14"/>
    <mergeCell ref="E13:E14"/>
    <mergeCell ref="A25:A26"/>
    <mergeCell ref="B25:B26"/>
    <mergeCell ref="C20:C21"/>
    <mergeCell ref="D20:D21"/>
    <mergeCell ref="E20:E21"/>
    <mergeCell ref="B20:B24"/>
    <mergeCell ref="A20:A24"/>
    <mergeCell ref="C23:C24"/>
    <mergeCell ref="D23:D24"/>
    <mergeCell ref="E23:E24"/>
    <mergeCell ref="A29:A31"/>
    <mergeCell ref="B29:B31"/>
    <mergeCell ref="C30:C31"/>
    <mergeCell ref="D30:D31"/>
    <mergeCell ref="E30:E31"/>
    <mergeCell ref="A27:A28"/>
    <mergeCell ref="B27:B28"/>
    <mergeCell ref="C27:C28"/>
    <mergeCell ref="D27:D28"/>
    <mergeCell ref="E27:E28"/>
    <mergeCell ref="A36:A37"/>
    <mergeCell ref="D36:D37"/>
    <mergeCell ref="E36:E37"/>
    <mergeCell ref="B36:B37"/>
    <mergeCell ref="C36:C37"/>
    <mergeCell ref="A34:A35"/>
    <mergeCell ref="B34:B35"/>
    <mergeCell ref="C34:C35"/>
    <mergeCell ref="D34:D35"/>
    <mergeCell ref="E34:E35"/>
    <mergeCell ref="B42:B43"/>
    <mergeCell ref="A42:A43"/>
    <mergeCell ref="C42:C43"/>
    <mergeCell ref="D42:D43"/>
    <mergeCell ref="E42:E43"/>
    <mergeCell ref="B38:B41"/>
    <mergeCell ref="A38:A41"/>
    <mergeCell ref="B44:B49"/>
    <mergeCell ref="A44:A49"/>
    <mergeCell ref="C44:C45"/>
    <mergeCell ref="D44:D45"/>
    <mergeCell ref="E44:E45"/>
    <mergeCell ref="C46:C47"/>
    <mergeCell ref="D46:D47"/>
    <mergeCell ref="E46:E47"/>
    <mergeCell ref="C48:C49"/>
    <mergeCell ref="D48:D49"/>
    <mergeCell ref="E48:E49"/>
  </mergeCells>
  <phoneticPr fontId="6" type="noConversion"/>
  <pageMargins left="0.25" right="0.25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8"/>
  <sheetViews>
    <sheetView workbookViewId="0">
      <pane ySplit="1" topLeftCell="A2" activePane="bottomLeft" state="frozen"/>
      <selection pane="bottomLeft" activeCell="B18" sqref="B18:B20"/>
    </sheetView>
  </sheetViews>
  <sheetFormatPr defaultColWidth="8.85546875" defaultRowHeight="15"/>
  <cols>
    <col min="1" max="1" width="4.28515625" style="6" bestFit="1" customWidth="1"/>
    <col min="2" max="2" width="30.42578125" style="6" bestFit="1" customWidth="1"/>
    <col min="3" max="3" width="10.28515625" style="6" bestFit="1" customWidth="1"/>
    <col min="4" max="4" width="6" style="6" bestFit="1" customWidth="1"/>
    <col min="5" max="5" width="7.28515625" style="6" bestFit="1" customWidth="1"/>
    <col min="6" max="6" width="9.28515625" style="6" bestFit="1" customWidth="1"/>
    <col min="7" max="7" width="7.42578125" style="14" bestFit="1" customWidth="1"/>
    <col min="8" max="8" width="9.28515625" style="6" bestFit="1" customWidth="1"/>
    <col min="9" max="10" width="7.7109375" style="6" bestFit="1" customWidth="1"/>
    <col min="11" max="13" width="8.28515625" style="6" bestFit="1" customWidth="1"/>
    <col min="14" max="14" width="12.5703125" style="6" bestFit="1" customWidth="1"/>
    <col min="15" max="15" width="9.7109375" style="6" bestFit="1" customWidth="1"/>
    <col min="16" max="16" width="6" style="17" bestFit="1" customWidth="1"/>
    <col min="17" max="17" width="7.7109375" style="17" bestFit="1" customWidth="1"/>
    <col min="18" max="16384" width="8.85546875" style="6"/>
  </cols>
  <sheetData>
    <row r="1" spans="1:17" ht="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5" t="s">
        <v>13</v>
      </c>
      <c r="O1" s="4" t="s">
        <v>14</v>
      </c>
      <c r="P1" s="7"/>
      <c r="Q1" s="7" t="s">
        <v>15</v>
      </c>
    </row>
    <row r="2" spans="1:17" ht="30">
      <c r="A2" s="35">
        <v>1</v>
      </c>
      <c r="B2" s="35" t="s">
        <v>16</v>
      </c>
      <c r="C2" s="35" t="s">
        <v>17</v>
      </c>
      <c r="D2" s="37" t="s">
        <v>17</v>
      </c>
      <c r="E2" s="37" t="s">
        <v>17</v>
      </c>
      <c r="F2" s="18">
        <v>8</v>
      </c>
      <c r="G2" s="12">
        <v>2</v>
      </c>
      <c r="H2" s="1">
        <f>F2*G2</f>
        <v>16</v>
      </c>
      <c r="I2" s="20">
        <v>12</v>
      </c>
      <c r="J2" s="20">
        <v>11.5</v>
      </c>
      <c r="K2" s="20">
        <f t="shared" ref="K2:K47" si="0">G2*I2</f>
        <v>24</v>
      </c>
      <c r="L2" s="20">
        <f t="shared" ref="L2:L47" si="1">G2*J2</f>
        <v>23</v>
      </c>
      <c r="M2" s="21" t="s">
        <v>18</v>
      </c>
      <c r="N2" s="4" t="s">
        <v>20</v>
      </c>
      <c r="O2" s="4">
        <f>59*30*27</f>
        <v>47790</v>
      </c>
      <c r="P2" s="7">
        <f>O2/1000000</f>
        <v>4.7789999999999999E-2</v>
      </c>
      <c r="Q2" s="7">
        <f t="shared" ref="Q2:Q41" si="2">P2*G2</f>
        <v>9.5579999999999998E-2</v>
      </c>
    </row>
    <row r="3" spans="1:17" ht="30">
      <c r="A3" s="36"/>
      <c r="B3" s="36"/>
      <c r="C3" s="36"/>
      <c r="D3" s="38"/>
      <c r="E3" s="38"/>
      <c r="F3" s="18">
        <v>3</v>
      </c>
      <c r="G3" s="12">
        <v>1</v>
      </c>
      <c r="H3" s="1">
        <f t="shared" ref="H3:H20" si="3">F3*G3</f>
        <v>3</v>
      </c>
      <c r="I3" s="20">
        <v>5.5</v>
      </c>
      <c r="J3" s="20">
        <v>5</v>
      </c>
      <c r="K3" s="20">
        <f t="shared" si="0"/>
        <v>5.5</v>
      </c>
      <c r="L3" s="20">
        <f t="shared" si="1"/>
        <v>5</v>
      </c>
      <c r="M3" s="21" t="s">
        <v>19</v>
      </c>
      <c r="N3" s="4" t="s">
        <v>21</v>
      </c>
      <c r="O3" s="4">
        <f>41*32*27</f>
        <v>35424</v>
      </c>
      <c r="P3" s="7">
        <f t="shared" ref="P3:P47" si="4">O3/1000000</f>
        <v>3.5423999999999997E-2</v>
      </c>
      <c r="Q3" s="7">
        <f t="shared" si="2"/>
        <v>3.5423999999999997E-2</v>
      </c>
    </row>
    <row r="4" spans="1:17" ht="45">
      <c r="A4" s="18">
        <v>2</v>
      </c>
      <c r="B4" s="24" t="s">
        <v>22</v>
      </c>
      <c r="C4" s="18" t="s">
        <v>17</v>
      </c>
      <c r="D4" s="19" t="s">
        <v>17</v>
      </c>
      <c r="E4" s="19" t="s">
        <v>17</v>
      </c>
      <c r="F4" s="18">
        <v>1</v>
      </c>
      <c r="G4" s="12">
        <v>1</v>
      </c>
      <c r="H4" s="1">
        <f t="shared" si="3"/>
        <v>1</v>
      </c>
      <c r="I4" s="20">
        <v>5.5</v>
      </c>
      <c r="J4" s="20">
        <v>5</v>
      </c>
      <c r="K4" s="20">
        <f t="shared" si="0"/>
        <v>5.5</v>
      </c>
      <c r="L4" s="20">
        <f t="shared" si="1"/>
        <v>5</v>
      </c>
      <c r="M4" s="21" t="s">
        <v>23</v>
      </c>
      <c r="N4" s="4" t="s">
        <v>24</v>
      </c>
      <c r="O4" s="4">
        <f>38*37*27</f>
        <v>37962</v>
      </c>
      <c r="P4" s="7">
        <f t="shared" si="4"/>
        <v>3.7962000000000003E-2</v>
      </c>
      <c r="Q4" s="7">
        <f t="shared" si="2"/>
        <v>3.7962000000000003E-2</v>
      </c>
    </row>
    <row r="5" spans="1:17" ht="30">
      <c r="A5" s="18">
        <v>3</v>
      </c>
      <c r="B5" s="24" t="s">
        <v>25</v>
      </c>
      <c r="C5" s="18" t="s">
        <v>17</v>
      </c>
      <c r="D5" s="19" t="s">
        <v>17</v>
      </c>
      <c r="E5" s="19" t="s">
        <v>17</v>
      </c>
      <c r="F5" s="18">
        <v>1</v>
      </c>
      <c r="G5" s="12">
        <v>1</v>
      </c>
      <c r="H5" s="1">
        <f t="shared" si="3"/>
        <v>1</v>
      </c>
      <c r="I5" s="20">
        <v>1</v>
      </c>
      <c r="J5" s="20">
        <v>0.9</v>
      </c>
      <c r="K5" s="20">
        <f t="shared" si="0"/>
        <v>1</v>
      </c>
      <c r="L5" s="20">
        <f t="shared" si="1"/>
        <v>0.9</v>
      </c>
      <c r="M5" s="21" t="s">
        <v>26</v>
      </c>
      <c r="N5" s="4" t="s">
        <v>27</v>
      </c>
      <c r="O5" s="4">
        <f>24*17*14</f>
        <v>5712</v>
      </c>
      <c r="P5" s="7">
        <f t="shared" si="4"/>
        <v>5.7120000000000001E-3</v>
      </c>
      <c r="Q5" s="7">
        <f t="shared" si="2"/>
        <v>5.7120000000000001E-3</v>
      </c>
    </row>
    <row r="6" spans="1:17" ht="30">
      <c r="A6" s="35">
        <v>4</v>
      </c>
      <c r="B6" s="35" t="s">
        <v>28</v>
      </c>
      <c r="C6" s="35" t="s">
        <v>17</v>
      </c>
      <c r="D6" s="37" t="s">
        <v>17</v>
      </c>
      <c r="E6" s="37" t="s">
        <v>17</v>
      </c>
      <c r="F6" s="18">
        <v>3</v>
      </c>
      <c r="G6" s="12">
        <v>4</v>
      </c>
      <c r="H6" s="1">
        <f t="shared" si="3"/>
        <v>12</v>
      </c>
      <c r="I6" s="20">
        <v>9</v>
      </c>
      <c r="J6" s="20">
        <v>8.6</v>
      </c>
      <c r="K6" s="20">
        <f t="shared" si="0"/>
        <v>36</v>
      </c>
      <c r="L6" s="20">
        <f t="shared" si="1"/>
        <v>34.4</v>
      </c>
      <c r="M6" s="21" t="s">
        <v>29</v>
      </c>
      <c r="N6" s="4" t="s">
        <v>31</v>
      </c>
      <c r="O6" s="4">
        <f>63*30*27</f>
        <v>51030</v>
      </c>
      <c r="P6" s="7">
        <f t="shared" si="4"/>
        <v>5.1029999999999999E-2</v>
      </c>
      <c r="Q6" s="7">
        <f t="shared" si="2"/>
        <v>0.20412</v>
      </c>
    </row>
    <row r="7" spans="1:17" ht="30">
      <c r="A7" s="36"/>
      <c r="B7" s="36"/>
      <c r="C7" s="36"/>
      <c r="D7" s="38"/>
      <c r="E7" s="38"/>
      <c r="F7" s="18">
        <v>2</v>
      </c>
      <c r="G7" s="12">
        <v>1</v>
      </c>
      <c r="H7" s="1">
        <f t="shared" si="3"/>
        <v>2</v>
      </c>
      <c r="I7" s="20">
        <v>6</v>
      </c>
      <c r="J7" s="20">
        <v>5.5</v>
      </c>
      <c r="K7" s="20">
        <f t="shared" si="0"/>
        <v>6</v>
      </c>
      <c r="L7" s="20">
        <f t="shared" si="1"/>
        <v>5.5</v>
      </c>
      <c r="M7" s="21" t="s">
        <v>30</v>
      </c>
      <c r="N7" s="4" t="s">
        <v>32</v>
      </c>
      <c r="O7" s="4">
        <f>42*30*24</f>
        <v>30240</v>
      </c>
      <c r="P7" s="7">
        <f t="shared" si="4"/>
        <v>3.024E-2</v>
      </c>
      <c r="Q7" s="7">
        <f t="shared" si="2"/>
        <v>3.024E-2</v>
      </c>
    </row>
    <row r="8" spans="1:17" ht="45">
      <c r="A8" s="18">
        <v>5</v>
      </c>
      <c r="B8" s="24" t="s">
        <v>33</v>
      </c>
      <c r="C8" s="18" t="s">
        <v>17</v>
      </c>
      <c r="D8" s="19" t="s">
        <v>17</v>
      </c>
      <c r="E8" s="19" t="s">
        <v>17</v>
      </c>
      <c r="F8" s="18">
        <v>1</v>
      </c>
      <c r="G8" s="12">
        <v>1</v>
      </c>
      <c r="H8" s="1">
        <f t="shared" si="3"/>
        <v>1</v>
      </c>
      <c r="I8" s="20">
        <v>15.5</v>
      </c>
      <c r="J8" s="20">
        <v>14.9</v>
      </c>
      <c r="K8" s="20">
        <f t="shared" si="0"/>
        <v>15.5</v>
      </c>
      <c r="L8" s="20">
        <f t="shared" si="1"/>
        <v>14.9</v>
      </c>
      <c r="M8" s="21" t="s">
        <v>34</v>
      </c>
      <c r="N8" s="4" t="s">
        <v>35</v>
      </c>
      <c r="O8" s="4">
        <f>54*52*52</f>
        <v>146016</v>
      </c>
      <c r="P8" s="7">
        <f t="shared" si="4"/>
        <v>0.14601600000000001</v>
      </c>
      <c r="Q8" s="7">
        <f t="shared" si="2"/>
        <v>0.14601600000000001</v>
      </c>
    </row>
    <row r="9" spans="1:17" ht="30">
      <c r="A9" s="18">
        <v>6</v>
      </c>
      <c r="B9" s="18" t="s">
        <v>38</v>
      </c>
      <c r="C9" s="18" t="s">
        <v>17</v>
      </c>
      <c r="D9" s="19" t="s">
        <v>17</v>
      </c>
      <c r="E9" s="19" t="s">
        <v>17</v>
      </c>
      <c r="F9" s="18">
        <v>1</v>
      </c>
      <c r="G9" s="12">
        <v>12</v>
      </c>
      <c r="H9" s="1">
        <f t="shared" si="3"/>
        <v>12</v>
      </c>
      <c r="I9" s="20">
        <v>11</v>
      </c>
      <c r="J9" s="20">
        <v>10.5</v>
      </c>
      <c r="K9" s="20">
        <f t="shared" si="0"/>
        <v>132</v>
      </c>
      <c r="L9" s="20">
        <f t="shared" si="1"/>
        <v>126</v>
      </c>
      <c r="M9" s="21" t="s">
        <v>39</v>
      </c>
      <c r="N9" s="4" t="s">
        <v>40</v>
      </c>
      <c r="O9" s="4">
        <f>57*48*30</f>
        <v>82080</v>
      </c>
      <c r="P9" s="7">
        <f t="shared" si="4"/>
        <v>8.208E-2</v>
      </c>
      <c r="Q9" s="7">
        <f t="shared" si="2"/>
        <v>0.98496000000000006</v>
      </c>
    </row>
    <row r="10" spans="1:17" ht="30">
      <c r="A10" s="18">
        <v>7</v>
      </c>
      <c r="B10" s="1" t="s">
        <v>45</v>
      </c>
      <c r="C10" s="18" t="s">
        <v>17</v>
      </c>
      <c r="D10" s="19" t="s">
        <v>17</v>
      </c>
      <c r="E10" s="19" t="s">
        <v>17</v>
      </c>
      <c r="F10" s="18">
        <v>1</v>
      </c>
      <c r="G10" s="12">
        <v>27</v>
      </c>
      <c r="H10" s="1">
        <f t="shared" si="3"/>
        <v>27</v>
      </c>
      <c r="I10" s="20">
        <v>5.5</v>
      </c>
      <c r="J10" s="20">
        <v>5</v>
      </c>
      <c r="K10" s="20">
        <f t="shared" si="0"/>
        <v>148.5</v>
      </c>
      <c r="L10" s="20">
        <f t="shared" si="1"/>
        <v>135</v>
      </c>
      <c r="M10" s="21" t="s">
        <v>46</v>
      </c>
      <c r="N10" s="4" t="s">
        <v>47</v>
      </c>
      <c r="O10" s="4">
        <f>33*42*23</f>
        <v>31878</v>
      </c>
      <c r="P10" s="7">
        <f t="shared" si="4"/>
        <v>3.1877999999999997E-2</v>
      </c>
      <c r="Q10" s="7">
        <f t="shared" si="2"/>
        <v>0.86070599999999986</v>
      </c>
    </row>
    <row r="11" spans="1:17" ht="30">
      <c r="A11" s="35">
        <v>8</v>
      </c>
      <c r="B11" s="35" t="s">
        <v>48</v>
      </c>
      <c r="C11" s="18" t="s">
        <v>17</v>
      </c>
      <c r="D11" s="19" t="s">
        <v>17</v>
      </c>
      <c r="E11" s="19" t="s">
        <v>17</v>
      </c>
      <c r="F11" s="18">
        <v>1</v>
      </c>
      <c r="G11" s="12">
        <v>8</v>
      </c>
      <c r="H11" s="1">
        <f t="shared" si="3"/>
        <v>8</v>
      </c>
      <c r="I11" s="20">
        <v>26</v>
      </c>
      <c r="J11" s="20">
        <v>25.5</v>
      </c>
      <c r="K11" s="20">
        <f t="shared" si="0"/>
        <v>208</v>
      </c>
      <c r="L11" s="20">
        <f t="shared" si="1"/>
        <v>204</v>
      </c>
      <c r="M11" s="21" t="s">
        <v>49</v>
      </c>
      <c r="N11" s="4" t="s">
        <v>50</v>
      </c>
      <c r="O11" s="4">
        <f>54*70*65</f>
        <v>245700</v>
      </c>
      <c r="P11" s="7">
        <f t="shared" si="4"/>
        <v>0.2457</v>
      </c>
      <c r="Q11" s="7">
        <f t="shared" si="2"/>
        <v>1.9656</v>
      </c>
    </row>
    <row r="12" spans="1:17" ht="30">
      <c r="A12" s="36"/>
      <c r="B12" s="36"/>
      <c r="C12" s="18" t="s">
        <v>17</v>
      </c>
      <c r="D12" s="19" t="s">
        <v>17</v>
      </c>
      <c r="E12" s="19" t="s">
        <v>17</v>
      </c>
      <c r="F12" s="18">
        <v>1</v>
      </c>
      <c r="G12" s="12">
        <v>8</v>
      </c>
      <c r="H12" s="1">
        <f t="shared" si="3"/>
        <v>8</v>
      </c>
      <c r="I12" s="20">
        <v>21</v>
      </c>
      <c r="J12" s="20">
        <v>20.5</v>
      </c>
      <c r="K12" s="20">
        <f t="shared" si="0"/>
        <v>168</v>
      </c>
      <c r="L12" s="20">
        <f t="shared" si="1"/>
        <v>164</v>
      </c>
      <c r="M12" s="21" t="s">
        <v>51</v>
      </c>
      <c r="N12" s="4" t="s">
        <v>52</v>
      </c>
      <c r="O12" s="4">
        <f>28*59*65</f>
        <v>107380</v>
      </c>
      <c r="P12" s="7">
        <f t="shared" si="4"/>
        <v>0.10738</v>
      </c>
      <c r="Q12" s="7">
        <f t="shared" si="2"/>
        <v>0.85904000000000003</v>
      </c>
    </row>
    <row r="13" spans="1:17" ht="30">
      <c r="A13" s="35">
        <v>9</v>
      </c>
      <c r="B13" s="35" t="s">
        <v>130</v>
      </c>
      <c r="C13" s="18" t="s">
        <v>17</v>
      </c>
      <c r="D13" s="19" t="s">
        <v>17</v>
      </c>
      <c r="E13" s="19" t="s">
        <v>17</v>
      </c>
      <c r="F13" s="18">
        <v>1</v>
      </c>
      <c r="G13" s="12">
        <v>8</v>
      </c>
      <c r="H13" s="1">
        <f t="shared" si="3"/>
        <v>8</v>
      </c>
      <c r="I13" s="20">
        <v>115</v>
      </c>
      <c r="J13" s="20">
        <v>114</v>
      </c>
      <c r="K13" s="20">
        <f t="shared" si="0"/>
        <v>920</v>
      </c>
      <c r="L13" s="20">
        <f t="shared" si="1"/>
        <v>912</v>
      </c>
      <c r="M13" s="21" t="s">
        <v>85</v>
      </c>
      <c r="N13" s="4" t="s">
        <v>86</v>
      </c>
      <c r="O13" s="4">
        <f>108*90*86</f>
        <v>835920</v>
      </c>
      <c r="P13" s="7">
        <f t="shared" si="4"/>
        <v>0.83592</v>
      </c>
      <c r="Q13" s="7">
        <f t="shared" si="2"/>
        <v>6.68736</v>
      </c>
    </row>
    <row r="14" spans="1:17" ht="13.9" customHeight="1">
      <c r="A14" s="42"/>
      <c r="B14" s="42"/>
      <c r="C14" s="18" t="s">
        <v>17</v>
      </c>
      <c r="D14" s="19" t="s">
        <v>17</v>
      </c>
      <c r="E14" s="19" t="s">
        <v>17</v>
      </c>
      <c r="F14" s="18">
        <v>1</v>
      </c>
      <c r="G14" s="12">
        <v>8</v>
      </c>
      <c r="H14" s="1">
        <f t="shared" si="3"/>
        <v>8</v>
      </c>
      <c r="I14" s="20">
        <v>3.5</v>
      </c>
      <c r="J14" s="20">
        <v>3</v>
      </c>
      <c r="K14" s="20">
        <f t="shared" si="0"/>
        <v>28</v>
      </c>
      <c r="L14" s="20">
        <f t="shared" si="1"/>
        <v>24</v>
      </c>
      <c r="M14" s="21" t="s">
        <v>87</v>
      </c>
      <c r="N14" s="4" t="s">
        <v>90</v>
      </c>
      <c r="O14" s="4">
        <f>52*33*11</f>
        <v>18876</v>
      </c>
      <c r="P14" s="7">
        <f t="shared" si="4"/>
        <v>1.8876E-2</v>
      </c>
      <c r="Q14" s="7">
        <f t="shared" si="2"/>
        <v>0.151008</v>
      </c>
    </row>
    <row r="15" spans="1:17" ht="30">
      <c r="A15" s="42"/>
      <c r="B15" s="42"/>
      <c r="C15" s="18" t="s">
        <v>17</v>
      </c>
      <c r="D15" s="19" t="s">
        <v>17</v>
      </c>
      <c r="E15" s="19" t="s">
        <v>17</v>
      </c>
      <c r="F15" s="18">
        <v>1</v>
      </c>
      <c r="G15" s="12">
        <v>8</v>
      </c>
      <c r="H15" s="1">
        <f t="shared" si="3"/>
        <v>8</v>
      </c>
      <c r="I15" s="20">
        <v>7</v>
      </c>
      <c r="J15" s="20">
        <v>6.5</v>
      </c>
      <c r="K15" s="20">
        <f t="shared" si="0"/>
        <v>56</v>
      </c>
      <c r="L15" s="20">
        <f t="shared" si="1"/>
        <v>52</v>
      </c>
      <c r="M15" s="21" t="s">
        <v>88</v>
      </c>
      <c r="N15" s="4" t="s">
        <v>91</v>
      </c>
      <c r="O15" s="4">
        <f>50*41*28</f>
        <v>57400</v>
      </c>
      <c r="P15" s="7">
        <f t="shared" si="4"/>
        <v>5.74E-2</v>
      </c>
      <c r="Q15" s="7">
        <f t="shared" si="2"/>
        <v>0.4592</v>
      </c>
    </row>
    <row r="16" spans="1:17" ht="30">
      <c r="A16" s="36"/>
      <c r="B16" s="36"/>
      <c r="C16" s="18" t="s">
        <v>17</v>
      </c>
      <c r="D16" s="19" t="s">
        <v>17</v>
      </c>
      <c r="E16" s="19" t="s">
        <v>17</v>
      </c>
      <c r="F16" s="18">
        <v>1</v>
      </c>
      <c r="G16" s="12">
        <v>8</v>
      </c>
      <c r="H16" s="1">
        <f t="shared" si="3"/>
        <v>8</v>
      </c>
      <c r="I16" s="20">
        <v>10</v>
      </c>
      <c r="J16" s="20">
        <v>9.5</v>
      </c>
      <c r="K16" s="20">
        <f t="shared" si="0"/>
        <v>80</v>
      </c>
      <c r="L16" s="20">
        <f t="shared" si="1"/>
        <v>76</v>
      </c>
      <c r="M16" s="21" t="s">
        <v>89</v>
      </c>
      <c r="N16" s="4" t="s">
        <v>92</v>
      </c>
      <c r="O16" s="4">
        <f>65*47*59</f>
        <v>180245</v>
      </c>
      <c r="P16" s="7">
        <f t="shared" si="4"/>
        <v>0.18024499999999999</v>
      </c>
      <c r="Q16" s="7">
        <f t="shared" si="2"/>
        <v>1.4419599999999999</v>
      </c>
    </row>
    <row r="17" spans="1:17" ht="30">
      <c r="A17" s="18">
        <v>10</v>
      </c>
      <c r="B17" s="24" t="s">
        <v>93</v>
      </c>
      <c r="C17" s="18" t="s">
        <v>17</v>
      </c>
      <c r="D17" s="19" t="s">
        <v>17</v>
      </c>
      <c r="E17" s="19" t="s">
        <v>17</v>
      </c>
      <c r="F17" s="18">
        <v>1</v>
      </c>
      <c r="G17" s="12">
        <v>1</v>
      </c>
      <c r="H17" s="1">
        <f t="shared" si="3"/>
        <v>1</v>
      </c>
      <c r="I17" s="20">
        <v>2</v>
      </c>
      <c r="J17" s="20">
        <v>1.5</v>
      </c>
      <c r="K17" s="20">
        <f t="shared" si="0"/>
        <v>2</v>
      </c>
      <c r="L17" s="20">
        <f t="shared" si="1"/>
        <v>1.5</v>
      </c>
      <c r="M17" s="21" t="s">
        <v>94</v>
      </c>
      <c r="N17" s="4" t="s">
        <v>95</v>
      </c>
      <c r="O17" s="4">
        <f>37*33*18</f>
        <v>21978</v>
      </c>
      <c r="P17" s="7">
        <f t="shared" si="4"/>
        <v>2.1978000000000001E-2</v>
      </c>
      <c r="Q17" s="7">
        <f t="shared" si="2"/>
        <v>2.1978000000000001E-2</v>
      </c>
    </row>
    <row r="18" spans="1:17" ht="30">
      <c r="A18" s="35">
        <v>11</v>
      </c>
      <c r="B18" s="35" t="s">
        <v>131</v>
      </c>
      <c r="C18" s="35" t="s">
        <v>17</v>
      </c>
      <c r="D18" s="37" t="s">
        <v>17</v>
      </c>
      <c r="E18" s="37" t="s">
        <v>17</v>
      </c>
      <c r="F18" s="18">
        <v>1</v>
      </c>
      <c r="G18" s="12">
        <v>5</v>
      </c>
      <c r="H18" s="1">
        <f t="shared" si="3"/>
        <v>5</v>
      </c>
      <c r="I18" s="20">
        <v>117</v>
      </c>
      <c r="J18" s="20">
        <v>115</v>
      </c>
      <c r="K18" s="20">
        <f t="shared" si="0"/>
        <v>585</v>
      </c>
      <c r="L18" s="20">
        <f t="shared" si="1"/>
        <v>575</v>
      </c>
      <c r="M18" s="21" t="s">
        <v>132</v>
      </c>
      <c r="N18" s="4" t="s">
        <v>133</v>
      </c>
      <c r="O18" s="4">
        <f>210*108*65</f>
        <v>1474200</v>
      </c>
      <c r="P18" s="7">
        <f t="shared" si="4"/>
        <v>1.4742</v>
      </c>
      <c r="Q18" s="7">
        <f t="shared" si="2"/>
        <v>7.3709999999999996</v>
      </c>
    </row>
    <row r="19" spans="1:17" ht="30">
      <c r="A19" s="42"/>
      <c r="B19" s="42"/>
      <c r="C19" s="42"/>
      <c r="D19" s="45"/>
      <c r="E19" s="45"/>
      <c r="F19" s="18">
        <v>5</v>
      </c>
      <c r="G19" s="12">
        <v>1</v>
      </c>
      <c r="H19" s="1">
        <f t="shared" si="3"/>
        <v>5</v>
      </c>
      <c r="I19" s="20">
        <v>21</v>
      </c>
      <c r="J19" s="20">
        <v>20.5</v>
      </c>
      <c r="K19" s="20">
        <f t="shared" si="0"/>
        <v>21</v>
      </c>
      <c r="L19" s="20">
        <f t="shared" si="1"/>
        <v>20.5</v>
      </c>
      <c r="M19" s="21" t="s">
        <v>134</v>
      </c>
      <c r="N19" s="4" t="s">
        <v>135</v>
      </c>
      <c r="O19" s="4">
        <f>97*55*33</f>
        <v>176055</v>
      </c>
      <c r="P19" s="7">
        <f t="shared" si="4"/>
        <v>0.17605499999999999</v>
      </c>
      <c r="Q19" s="7">
        <f t="shared" si="2"/>
        <v>0.17605499999999999</v>
      </c>
    </row>
    <row r="20" spans="1:17" ht="30">
      <c r="A20" s="36"/>
      <c r="B20" s="36"/>
      <c r="C20" s="36"/>
      <c r="D20" s="38"/>
      <c r="E20" s="38"/>
      <c r="F20" s="18">
        <v>5</v>
      </c>
      <c r="G20" s="12">
        <v>1</v>
      </c>
      <c r="H20" s="1">
        <f t="shared" si="3"/>
        <v>5</v>
      </c>
      <c r="I20" s="20">
        <v>17.5</v>
      </c>
      <c r="J20" s="20">
        <v>17</v>
      </c>
      <c r="K20" s="20">
        <f t="shared" si="0"/>
        <v>17.5</v>
      </c>
      <c r="L20" s="20">
        <f t="shared" si="1"/>
        <v>17</v>
      </c>
      <c r="M20" s="21" t="s">
        <v>137</v>
      </c>
      <c r="N20" s="4" t="s">
        <v>138</v>
      </c>
      <c r="O20" s="4">
        <f>97*45*34</f>
        <v>148410</v>
      </c>
      <c r="P20" s="7">
        <f t="shared" si="4"/>
        <v>0.14840999999999999</v>
      </c>
      <c r="Q20" s="7">
        <f t="shared" si="2"/>
        <v>0.14840999999999999</v>
      </c>
    </row>
    <row r="21" spans="1:17" ht="30">
      <c r="A21" s="35">
        <v>12</v>
      </c>
      <c r="B21" s="35" t="s">
        <v>136</v>
      </c>
      <c r="C21" s="35" t="s">
        <v>17</v>
      </c>
      <c r="D21" s="37" t="s">
        <v>17</v>
      </c>
      <c r="E21" s="37" t="s">
        <v>17</v>
      </c>
      <c r="F21" s="18">
        <v>1</v>
      </c>
      <c r="G21" s="12">
        <v>5</v>
      </c>
      <c r="H21" s="1">
        <f t="shared" ref="H21:H47" si="5">F21*G21</f>
        <v>5</v>
      </c>
      <c r="I21" s="20">
        <v>117</v>
      </c>
      <c r="J21" s="20">
        <v>115</v>
      </c>
      <c r="K21" s="20">
        <f t="shared" si="0"/>
        <v>585</v>
      </c>
      <c r="L21" s="20">
        <f t="shared" si="1"/>
        <v>575</v>
      </c>
      <c r="M21" s="21" t="s">
        <v>139</v>
      </c>
      <c r="N21" s="4" t="s">
        <v>133</v>
      </c>
      <c r="O21" s="4">
        <f>210*108*65</f>
        <v>1474200</v>
      </c>
      <c r="P21" s="7">
        <f t="shared" si="4"/>
        <v>1.4742</v>
      </c>
      <c r="Q21" s="7">
        <f t="shared" si="2"/>
        <v>7.3709999999999996</v>
      </c>
    </row>
    <row r="22" spans="1:17" ht="30">
      <c r="A22" s="42"/>
      <c r="B22" s="42"/>
      <c r="C22" s="42"/>
      <c r="D22" s="45"/>
      <c r="E22" s="45"/>
      <c r="F22" s="18">
        <v>5</v>
      </c>
      <c r="G22" s="12">
        <v>1</v>
      </c>
      <c r="H22" s="1">
        <f t="shared" si="5"/>
        <v>5</v>
      </c>
      <c r="I22" s="20">
        <v>21</v>
      </c>
      <c r="J22" s="20">
        <v>20.5</v>
      </c>
      <c r="K22" s="20">
        <f t="shared" si="0"/>
        <v>21</v>
      </c>
      <c r="L22" s="20">
        <f t="shared" si="1"/>
        <v>20.5</v>
      </c>
      <c r="M22" s="21" t="s">
        <v>140</v>
      </c>
      <c r="N22" s="4" t="s">
        <v>135</v>
      </c>
      <c r="O22" s="4">
        <f>97*55*33</f>
        <v>176055</v>
      </c>
      <c r="P22" s="7">
        <f t="shared" si="4"/>
        <v>0.17605499999999999</v>
      </c>
      <c r="Q22" s="7">
        <f t="shared" si="2"/>
        <v>0.17605499999999999</v>
      </c>
    </row>
    <row r="23" spans="1:17" ht="30">
      <c r="A23" s="36"/>
      <c r="B23" s="36"/>
      <c r="C23" s="36"/>
      <c r="D23" s="38"/>
      <c r="E23" s="38"/>
      <c r="F23" s="18">
        <v>5</v>
      </c>
      <c r="G23" s="12">
        <v>1</v>
      </c>
      <c r="H23" s="1">
        <f t="shared" si="5"/>
        <v>5</v>
      </c>
      <c r="I23" s="20">
        <v>17.5</v>
      </c>
      <c r="J23" s="20">
        <v>17</v>
      </c>
      <c r="K23" s="20">
        <f t="shared" si="0"/>
        <v>17.5</v>
      </c>
      <c r="L23" s="20">
        <f t="shared" si="1"/>
        <v>17</v>
      </c>
      <c r="M23" s="21" t="s">
        <v>141</v>
      </c>
      <c r="N23" s="4" t="s">
        <v>138</v>
      </c>
      <c r="O23" s="4">
        <f>97*45*34</f>
        <v>148410</v>
      </c>
      <c r="P23" s="7">
        <f t="shared" si="4"/>
        <v>0.14840999999999999</v>
      </c>
      <c r="Q23" s="7">
        <f t="shared" si="2"/>
        <v>0.14840999999999999</v>
      </c>
    </row>
    <row r="24" spans="1:17" ht="30">
      <c r="A24" s="35">
        <v>13</v>
      </c>
      <c r="B24" s="35" t="s">
        <v>142</v>
      </c>
      <c r="C24" s="35" t="s">
        <v>17</v>
      </c>
      <c r="D24" s="37" t="s">
        <v>17</v>
      </c>
      <c r="E24" s="37" t="s">
        <v>17</v>
      </c>
      <c r="F24" s="18">
        <v>1</v>
      </c>
      <c r="G24" s="12">
        <v>15</v>
      </c>
      <c r="H24" s="1">
        <f t="shared" si="5"/>
        <v>15</v>
      </c>
      <c r="I24" s="20">
        <v>117</v>
      </c>
      <c r="J24" s="20">
        <v>115</v>
      </c>
      <c r="K24" s="20">
        <f t="shared" si="0"/>
        <v>1755</v>
      </c>
      <c r="L24" s="20">
        <f t="shared" si="1"/>
        <v>1725</v>
      </c>
      <c r="M24" s="21" t="s">
        <v>143</v>
      </c>
      <c r="N24" s="4" t="s">
        <v>133</v>
      </c>
      <c r="O24" s="4">
        <f>210*108*65</f>
        <v>1474200</v>
      </c>
      <c r="P24" s="7">
        <f t="shared" si="4"/>
        <v>1.4742</v>
      </c>
      <c r="Q24" s="7">
        <f t="shared" si="2"/>
        <v>22.113</v>
      </c>
    </row>
    <row r="25" spans="1:17" ht="30">
      <c r="A25" s="42"/>
      <c r="B25" s="42"/>
      <c r="C25" s="42"/>
      <c r="D25" s="45"/>
      <c r="E25" s="45"/>
      <c r="F25" s="18">
        <v>6</v>
      </c>
      <c r="G25" s="12">
        <v>2</v>
      </c>
      <c r="H25" s="1">
        <f t="shared" si="5"/>
        <v>12</v>
      </c>
      <c r="I25" s="20">
        <v>21</v>
      </c>
      <c r="J25" s="20">
        <v>20.5</v>
      </c>
      <c r="K25" s="20">
        <f t="shared" si="0"/>
        <v>42</v>
      </c>
      <c r="L25" s="20">
        <f t="shared" si="1"/>
        <v>41</v>
      </c>
      <c r="M25" s="21" t="s">
        <v>144</v>
      </c>
      <c r="N25" s="4" t="s">
        <v>135</v>
      </c>
      <c r="O25" s="4">
        <f>97*55*33</f>
        <v>176055</v>
      </c>
      <c r="P25" s="7">
        <f t="shared" si="4"/>
        <v>0.17605499999999999</v>
      </c>
      <c r="Q25" s="7">
        <f t="shared" si="2"/>
        <v>0.35210999999999998</v>
      </c>
    </row>
    <row r="26" spans="1:17" ht="30">
      <c r="A26" s="42"/>
      <c r="B26" s="42"/>
      <c r="C26" s="42"/>
      <c r="D26" s="45"/>
      <c r="E26" s="45"/>
      <c r="F26" s="18">
        <v>3</v>
      </c>
      <c r="G26" s="12">
        <v>1</v>
      </c>
      <c r="H26" s="1">
        <f t="shared" si="5"/>
        <v>3</v>
      </c>
      <c r="I26" s="20">
        <v>11</v>
      </c>
      <c r="J26" s="20">
        <v>10.5</v>
      </c>
      <c r="K26" s="20">
        <f t="shared" si="0"/>
        <v>11</v>
      </c>
      <c r="L26" s="20">
        <f t="shared" si="1"/>
        <v>10.5</v>
      </c>
      <c r="M26" s="21" t="s">
        <v>145</v>
      </c>
      <c r="N26" s="4" t="s">
        <v>138</v>
      </c>
      <c r="O26" s="4">
        <f>97*45*34</f>
        <v>148410</v>
      </c>
      <c r="P26" s="7">
        <f t="shared" si="4"/>
        <v>0.14840999999999999</v>
      </c>
      <c r="Q26" s="7">
        <f t="shared" si="2"/>
        <v>0.14840999999999999</v>
      </c>
    </row>
    <row r="27" spans="1:17" ht="30">
      <c r="A27" s="42"/>
      <c r="B27" s="42"/>
      <c r="C27" s="42"/>
      <c r="D27" s="45"/>
      <c r="E27" s="45"/>
      <c r="F27" s="18">
        <v>6</v>
      </c>
      <c r="G27" s="12">
        <v>2</v>
      </c>
      <c r="H27" s="1">
        <f t="shared" si="5"/>
        <v>12</v>
      </c>
      <c r="I27" s="20">
        <v>18</v>
      </c>
      <c r="J27" s="20">
        <v>17.5</v>
      </c>
      <c r="K27" s="20">
        <f t="shared" si="0"/>
        <v>36</v>
      </c>
      <c r="L27" s="20">
        <f t="shared" si="1"/>
        <v>35</v>
      </c>
      <c r="M27" s="21" t="s">
        <v>146</v>
      </c>
      <c r="N27" s="4" t="s">
        <v>135</v>
      </c>
      <c r="O27" s="4">
        <f>97*55*33</f>
        <v>176055</v>
      </c>
      <c r="P27" s="7">
        <f t="shared" si="4"/>
        <v>0.17605499999999999</v>
      </c>
      <c r="Q27" s="7">
        <f t="shared" si="2"/>
        <v>0.35210999999999998</v>
      </c>
    </row>
    <row r="28" spans="1:17" ht="30">
      <c r="A28" s="36"/>
      <c r="B28" s="36"/>
      <c r="C28" s="36"/>
      <c r="D28" s="38"/>
      <c r="E28" s="38"/>
      <c r="F28" s="18">
        <v>3</v>
      </c>
      <c r="G28" s="12">
        <v>1</v>
      </c>
      <c r="H28" s="1">
        <f t="shared" si="5"/>
        <v>3</v>
      </c>
      <c r="I28" s="20">
        <v>9</v>
      </c>
      <c r="J28" s="20">
        <v>8.6</v>
      </c>
      <c r="K28" s="20">
        <f t="shared" si="0"/>
        <v>9</v>
      </c>
      <c r="L28" s="20">
        <f t="shared" si="1"/>
        <v>8.6</v>
      </c>
      <c r="M28" s="21" t="s">
        <v>147</v>
      </c>
      <c r="N28" s="4" t="s">
        <v>138</v>
      </c>
      <c r="O28" s="4">
        <f>97*45*34</f>
        <v>148410</v>
      </c>
      <c r="P28" s="7">
        <f t="shared" si="4"/>
        <v>0.14840999999999999</v>
      </c>
      <c r="Q28" s="7">
        <f t="shared" si="2"/>
        <v>0.14840999999999999</v>
      </c>
    </row>
    <row r="29" spans="1:17" ht="30">
      <c r="A29" s="35">
        <v>14</v>
      </c>
      <c r="B29" s="35" t="s">
        <v>148</v>
      </c>
      <c r="C29" s="35" t="s">
        <v>17</v>
      </c>
      <c r="D29" s="35" t="s">
        <v>17</v>
      </c>
      <c r="E29" s="35" t="s">
        <v>17</v>
      </c>
      <c r="F29" s="18">
        <v>1</v>
      </c>
      <c r="G29" s="12">
        <v>50</v>
      </c>
      <c r="H29" s="1">
        <f t="shared" si="5"/>
        <v>50</v>
      </c>
      <c r="I29" s="20">
        <v>50</v>
      </c>
      <c r="J29" s="20">
        <v>49</v>
      </c>
      <c r="K29" s="20">
        <f t="shared" si="0"/>
        <v>2500</v>
      </c>
      <c r="L29" s="20">
        <f t="shared" si="1"/>
        <v>2450</v>
      </c>
      <c r="M29" s="21" t="s">
        <v>149</v>
      </c>
      <c r="N29" s="4" t="s">
        <v>150</v>
      </c>
      <c r="O29" s="4">
        <f>230*95*18</f>
        <v>393300</v>
      </c>
      <c r="P29" s="7">
        <f t="shared" si="4"/>
        <v>0.39329999999999998</v>
      </c>
      <c r="Q29" s="7">
        <f t="shared" si="2"/>
        <v>19.664999999999999</v>
      </c>
    </row>
    <row r="30" spans="1:17" ht="30">
      <c r="A30" s="42"/>
      <c r="B30" s="42"/>
      <c r="C30" s="42"/>
      <c r="D30" s="42"/>
      <c r="E30" s="42"/>
      <c r="F30" s="18">
        <v>3</v>
      </c>
      <c r="G30" s="12">
        <v>16</v>
      </c>
      <c r="H30" s="1">
        <f t="shared" si="5"/>
        <v>48</v>
      </c>
      <c r="I30" s="20">
        <v>18</v>
      </c>
      <c r="J30" s="20">
        <v>17</v>
      </c>
      <c r="K30" s="20">
        <f t="shared" si="0"/>
        <v>288</v>
      </c>
      <c r="L30" s="20">
        <f t="shared" si="1"/>
        <v>272</v>
      </c>
      <c r="M30" s="21" t="s">
        <v>151</v>
      </c>
      <c r="N30" s="4" t="s">
        <v>152</v>
      </c>
      <c r="O30" s="4">
        <f>101*45*54</f>
        <v>245430</v>
      </c>
      <c r="P30" s="7">
        <f t="shared" si="4"/>
        <v>0.24543000000000001</v>
      </c>
      <c r="Q30" s="7">
        <f t="shared" si="2"/>
        <v>3.9268800000000001</v>
      </c>
    </row>
    <row r="31" spans="1:17" ht="30">
      <c r="A31" s="42"/>
      <c r="B31" s="42"/>
      <c r="C31" s="42"/>
      <c r="D31" s="42"/>
      <c r="E31" s="42"/>
      <c r="F31" s="18">
        <v>2</v>
      </c>
      <c r="G31" s="12">
        <v>1</v>
      </c>
      <c r="H31" s="1">
        <f t="shared" si="5"/>
        <v>2</v>
      </c>
      <c r="I31" s="20">
        <v>12</v>
      </c>
      <c r="J31" s="20">
        <v>11.5</v>
      </c>
      <c r="K31" s="20">
        <f t="shared" si="0"/>
        <v>12</v>
      </c>
      <c r="L31" s="20">
        <f t="shared" si="1"/>
        <v>11.5</v>
      </c>
      <c r="M31" s="21" t="s">
        <v>153</v>
      </c>
      <c r="N31" s="4" t="s">
        <v>154</v>
      </c>
      <c r="O31" s="4">
        <f>101*33*54</f>
        <v>179982</v>
      </c>
      <c r="P31" s="7">
        <f t="shared" si="4"/>
        <v>0.179982</v>
      </c>
      <c r="Q31" s="7">
        <f t="shared" si="2"/>
        <v>0.179982</v>
      </c>
    </row>
    <row r="32" spans="1:17" ht="30">
      <c r="A32" s="42"/>
      <c r="B32" s="42"/>
      <c r="C32" s="42"/>
      <c r="D32" s="42"/>
      <c r="E32" s="42"/>
      <c r="F32" s="18">
        <v>5</v>
      </c>
      <c r="G32" s="12">
        <v>10</v>
      </c>
      <c r="H32" s="1">
        <f t="shared" si="5"/>
        <v>50</v>
      </c>
      <c r="I32" s="20">
        <v>27</v>
      </c>
      <c r="J32" s="20">
        <v>26</v>
      </c>
      <c r="K32" s="20">
        <f t="shared" si="0"/>
        <v>270</v>
      </c>
      <c r="L32" s="20">
        <f t="shared" si="1"/>
        <v>260</v>
      </c>
      <c r="M32" s="21" t="s">
        <v>155</v>
      </c>
      <c r="N32" s="4" t="s">
        <v>156</v>
      </c>
      <c r="O32" s="4">
        <f>197*45*90</f>
        <v>797850</v>
      </c>
      <c r="P32" s="7">
        <f t="shared" si="4"/>
        <v>0.79784999999999995</v>
      </c>
      <c r="Q32" s="7">
        <f t="shared" si="2"/>
        <v>7.9784999999999995</v>
      </c>
    </row>
    <row r="33" spans="1:17" ht="30">
      <c r="A33" s="42"/>
      <c r="B33" s="42"/>
      <c r="C33" s="42"/>
      <c r="D33" s="42"/>
      <c r="E33" s="42"/>
      <c r="F33" s="18">
        <v>1</v>
      </c>
      <c r="G33" s="12">
        <v>50</v>
      </c>
      <c r="H33" s="1">
        <f t="shared" si="5"/>
        <v>50</v>
      </c>
      <c r="I33" s="20">
        <v>17</v>
      </c>
      <c r="J33" s="20">
        <v>16.5</v>
      </c>
      <c r="K33" s="20">
        <f t="shared" si="0"/>
        <v>850</v>
      </c>
      <c r="L33" s="20">
        <f t="shared" si="1"/>
        <v>825</v>
      </c>
      <c r="M33" s="21" t="s">
        <v>157</v>
      </c>
      <c r="N33" s="4" t="s">
        <v>158</v>
      </c>
      <c r="O33" s="4">
        <f>90*37*34</f>
        <v>113220</v>
      </c>
      <c r="P33" s="7">
        <f t="shared" si="4"/>
        <v>0.11322</v>
      </c>
      <c r="Q33" s="7">
        <f t="shared" si="2"/>
        <v>5.6610000000000005</v>
      </c>
    </row>
    <row r="34" spans="1:17" ht="30">
      <c r="A34" s="36"/>
      <c r="B34" s="36"/>
      <c r="C34" s="36"/>
      <c r="D34" s="36"/>
      <c r="E34" s="36"/>
      <c r="F34" s="18">
        <v>2</v>
      </c>
      <c r="G34" s="12">
        <v>25</v>
      </c>
      <c r="H34" s="1">
        <f t="shared" si="5"/>
        <v>50</v>
      </c>
      <c r="I34" s="20">
        <v>15</v>
      </c>
      <c r="J34" s="20">
        <v>14.5</v>
      </c>
      <c r="K34" s="20">
        <f t="shared" si="0"/>
        <v>375</v>
      </c>
      <c r="L34" s="20">
        <f t="shared" si="1"/>
        <v>362.5</v>
      </c>
      <c r="M34" s="21" t="s">
        <v>159</v>
      </c>
      <c r="N34" s="4" t="s">
        <v>160</v>
      </c>
      <c r="O34" s="4">
        <f>55*99*21</f>
        <v>114345</v>
      </c>
      <c r="P34" s="7">
        <f t="shared" si="4"/>
        <v>0.114345</v>
      </c>
      <c r="Q34" s="7">
        <f t="shared" si="2"/>
        <v>2.858625</v>
      </c>
    </row>
    <row r="35" spans="1:17" ht="30">
      <c r="A35" s="18">
        <v>15</v>
      </c>
      <c r="B35" s="24" t="s">
        <v>161</v>
      </c>
      <c r="C35" s="18" t="s">
        <v>17</v>
      </c>
      <c r="D35" s="19" t="s">
        <v>17</v>
      </c>
      <c r="E35" s="19" t="s">
        <v>17</v>
      </c>
      <c r="F35" s="18">
        <v>1</v>
      </c>
      <c r="G35" s="12">
        <v>1</v>
      </c>
      <c r="H35" s="1">
        <f>F35*G35</f>
        <v>1</v>
      </c>
      <c r="I35" s="20">
        <v>14.5</v>
      </c>
      <c r="J35" s="20">
        <v>14</v>
      </c>
      <c r="K35" s="20">
        <f t="shared" si="0"/>
        <v>14.5</v>
      </c>
      <c r="L35" s="20">
        <f t="shared" si="1"/>
        <v>14</v>
      </c>
      <c r="M35" s="21" t="s">
        <v>162</v>
      </c>
      <c r="N35" s="4" t="s">
        <v>163</v>
      </c>
      <c r="O35" s="4">
        <f>52*52*52</f>
        <v>140608</v>
      </c>
      <c r="P35" s="7">
        <f t="shared" si="4"/>
        <v>0.14060800000000001</v>
      </c>
      <c r="Q35" s="7">
        <f t="shared" si="2"/>
        <v>0.14060800000000001</v>
      </c>
    </row>
    <row r="36" spans="1:17" ht="13.9" customHeight="1">
      <c r="A36" s="32">
        <v>16</v>
      </c>
      <c r="B36" s="46" t="s">
        <v>130</v>
      </c>
      <c r="C36" s="32" t="s">
        <v>17</v>
      </c>
      <c r="D36" s="43" t="s">
        <v>17</v>
      </c>
      <c r="E36" s="43" t="s">
        <v>17</v>
      </c>
      <c r="F36" s="2">
        <v>1</v>
      </c>
      <c r="G36" s="12">
        <v>6</v>
      </c>
      <c r="H36" s="4">
        <f t="shared" si="5"/>
        <v>6</v>
      </c>
      <c r="I36" s="7">
        <v>310</v>
      </c>
      <c r="J36" s="7">
        <v>309</v>
      </c>
      <c r="K36" s="7">
        <f t="shared" si="0"/>
        <v>1860</v>
      </c>
      <c r="L36" s="7">
        <f t="shared" si="1"/>
        <v>1854</v>
      </c>
      <c r="M36" s="8" t="s">
        <v>177</v>
      </c>
      <c r="N36" s="4" t="s">
        <v>168</v>
      </c>
      <c r="O36" s="4">
        <f>127*92*145</f>
        <v>1694180</v>
      </c>
      <c r="P36" s="7">
        <f t="shared" si="4"/>
        <v>1.69418</v>
      </c>
      <c r="Q36" s="7">
        <f t="shared" si="2"/>
        <v>10.16508</v>
      </c>
    </row>
    <row r="37" spans="1:17" ht="30">
      <c r="A37" s="33"/>
      <c r="B37" s="47"/>
      <c r="C37" s="33"/>
      <c r="D37" s="49"/>
      <c r="E37" s="49"/>
      <c r="F37" s="2">
        <v>1</v>
      </c>
      <c r="G37" s="12">
        <v>6</v>
      </c>
      <c r="H37" s="4">
        <f t="shared" si="5"/>
        <v>6</v>
      </c>
      <c r="I37" s="7">
        <v>24</v>
      </c>
      <c r="J37" s="7">
        <v>23</v>
      </c>
      <c r="K37" s="7">
        <f t="shared" si="0"/>
        <v>144</v>
      </c>
      <c r="L37" s="7">
        <f t="shared" si="1"/>
        <v>138</v>
      </c>
      <c r="M37" s="8" t="s">
        <v>178</v>
      </c>
      <c r="N37" s="4" t="s">
        <v>169</v>
      </c>
      <c r="O37" s="4">
        <f>74*69*52</f>
        <v>265512</v>
      </c>
      <c r="P37" s="7">
        <f t="shared" si="4"/>
        <v>0.26551200000000003</v>
      </c>
      <c r="Q37" s="7">
        <f t="shared" si="2"/>
        <v>1.5930720000000003</v>
      </c>
    </row>
    <row r="38" spans="1:17" ht="30">
      <c r="A38" s="33"/>
      <c r="B38" s="47"/>
      <c r="C38" s="33"/>
      <c r="D38" s="49"/>
      <c r="E38" s="49"/>
      <c r="F38" s="2">
        <v>1</v>
      </c>
      <c r="G38" s="12">
        <v>6</v>
      </c>
      <c r="H38" s="4">
        <f t="shared" si="5"/>
        <v>6</v>
      </c>
      <c r="I38" s="7">
        <v>6.5</v>
      </c>
      <c r="J38" s="7">
        <v>6</v>
      </c>
      <c r="K38" s="7">
        <f t="shared" si="0"/>
        <v>39</v>
      </c>
      <c r="L38" s="7">
        <f t="shared" si="1"/>
        <v>36</v>
      </c>
      <c r="M38" s="8" t="s">
        <v>179</v>
      </c>
      <c r="N38" s="4" t="s">
        <v>170</v>
      </c>
      <c r="O38" s="4">
        <f>52*21*41</f>
        <v>44772</v>
      </c>
      <c r="P38" s="7">
        <f t="shared" si="4"/>
        <v>4.4771999999999999E-2</v>
      </c>
      <c r="Q38" s="7">
        <f t="shared" si="2"/>
        <v>0.26863199999999998</v>
      </c>
    </row>
    <row r="39" spans="1:17" ht="30">
      <c r="A39" s="33"/>
      <c r="B39" s="47"/>
      <c r="C39" s="33"/>
      <c r="D39" s="49"/>
      <c r="E39" s="49"/>
      <c r="F39" s="2">
        <v>1</v>
      </c>
      <c r="G39" s="12">
        <v>6</v>
      </c>
      <c r="H39" s="4">
        <f t="shared" si="5"/>
        <v>6</v>
      </c>
      <c r="I39" s="7">
        <v>9.5</v>
      </c>
      <c r="J39" s="7">
        <v>9</v>
      </c>
      <c r="K39" s="7">
        <f t="shared" si="0"/>
        <v>57</v>
      </c>
      <c r="L39" s="7">
        <f t="shared" si="1"/>
        <v>54</v>
      </c>
      <c r="M39" s="8" t="s">
        <v>180</v>
      </c>
      <c r="N39" s="4" t="s">
        <v>171</v>
      </c>
      <c r="O39" s="4">
        <f>54*38*42</f>
        <v>86184</v>
      </c>
      <c r="P39" s="7">
        <f t="shared" si="4"/>
        <v>8.6183999999999997E-2</v>
      </c>
      <c r="Q39" s="7">
        <f t="shared" si="2"/>
        <v>0.51710400000000001</v>
      </c>
    </row>
    <row r="40" spans="1:17" ht="30">
      <c r="A40" s="33"/>
      <c r="B40" s="47"/>
      <c r="C40" s="33"/>
      <c r="D40" s="49"/>
      <c r="E40" s="49"/>
      <c r="F40" s="2">
        <v>1</v>
      </c>
      <c r="G40" s="12">
        <v>6</v>
      </c>
      <c r="H40" s="4">
        <f t="shared" si="5"/>
        <v>6</v>
      </c>
      <c r="I40" s="7">
        <v>25</v>
      </c>
      <c r="J40" s="7">
        <v>24.5</v>
      </c>
      <c r="K40" s="7">
        <f t="shared" si="0"/>
        <v>150</v>
      </c>
      <c r="L40" s="7">
        <f t="shared" si="1"/>
        <v>147</v>
      </c>
      <c r="M40" s="8" t="s">
        <v>181</v>
      </c>
      <c r="N40" s="4" t="s">
        <v>172</v>
      </c>
      <c r="O40" s="4">
        <f>108*70*43</f>
        <v>325080</v>
      </c>
      <c r="P40" s="7">
        <f t="shared" si="4"/>
        <v>0.32507999999999998</v>
      </c>
      <c r="Q40" s="7">
        <f t="shared" si="2"/>
        <v>1.9504799999999998</v>
      </c>
    </row>
    <row r="41" spans="1:17" ht="30">
      <c r="A41" s="34"/>
      <c r="B41" s="48"/>
      <c r="C41" s="34"/>
      <c r="D41" s="44"/>
      <c r="E41" s="44"/>
      <c r="F41" s="2">
        <v>1</v>
      </c>
      <c r="G41" s="12">
        <v>6</v>
      </c>
      <c r="H41" s="4">
        <f t="shared" si="5"/>
        <v>6</v>
      </c>
      <c r="I41" s="7">
        <v>21</v>
      </c>
      <c r="J41" s="7">
        <v>20.5</v>
      </c>
      <c r="K41" s="7">
        <f t="shared" si="0"/>
        <v>126</v>
      </c>
      <c r="L41" s="7">
        <f t="shared" si="1"/>
        <v>123</v>
      </c>
      <c r="M41" s="8" t="s">
        <v>182</v>
      </c>
      <c r="N41" s="4" t="s">
        <v>183</v>
      </c>
      <c r="O41" s="4">
        <f>50*45*59</f>
        <v>132750</v>
      </c>
      <c r="P41" s="7">
        <f t="shared" si="4"/>
        <v>0.13275000000000001</v>
      </c>
      <c r="Q41" s="7">
        <f t="shared" si="2"/>
        <v>0.79649999999999999</v>
      </c>
    </row>
    <row r="42" spans="1:17" ht="30">
      <c r="A42" s="32">
        <v>17</v>
      </c>
      <c r="B42" s="32" t="s">
        <v>184</v>
      </c>
      <c r="C42" s="32" t="s">
        <v>17</v>
      </c>
      <c r="D42" s="43" t="s">
        <v>17</v>
      </c>
      <c r="E42" s="43" t="s">
        <v>17</v>
      </c>
      <c r="F42" s="2">
        <v>1</v>
      </c>
      <c r="G42" s="12">
        <v>4</v>
      </c>
      <c r="H42" s="4">
        <f t="shared" si="5"/>
        <v>4</v>
      </c>
      <c r="I42" s="7">
        <v>425</v>
      </c>
      <c r="J42" s="7">
        <v>414</v>
      </c>
      <c r="K42" s="7">
        <f t="shared" si="0"/>
        <v>1700</v>
      </c>
      <c r="L42" s="7">
        <f t="shared" si="1"/>
        <v>1656</v>
      </c>
      <c r="M42" s="8" t="s">
        <v>185</v>
      </c>
      <c r="N42" s="4" t="s">
        <v>187</v>
      </c>
      <c r="O42" s="4">
        <f>214*108*124</f>
        <v>2865888</v>
      </c>
      <c r="P42" s="7">
        <f t="shared" si="4"/>
        <v>2.865888</v>
      </c>
      <c r="Q42" s="7">
        <f t="shared" ref="Q42:Q47" si="6">P42*G42</f>
        <v>11.463552</v>
      </c>
    </row>
    <row r="43" spans="1:17" ht="30">
      <c r="A43" s="34"/>
      <c r="B43" s="34"/>
      <c r="C43" s="34"/>
      <c r="D43" s="44"/>
      <c r="E43" s="44"/>
      <c r="F43" s="2">
        <v>1</v>
      </c>
      <c r="G43" s="12">
        <v>1</v>
      </c>
      <c r="H43" s="4">
        <f t="shared" si="5"/>
        <v>1</v>
      </c>
      <c r="I43" s="7">
        <v>122</v>
      </c>
      <c r="J43" s="7">
        <v>118</v>
      </c>
      <c r="K43" s="7">
        <f t="shared" si="0"/>
        <v>122</v>
      </c>
      <c r="L43" s="7">
        <f t="shared" si="1"/>
        <v>118</v>
      </c>
      <c r="M43" s="8" t="s">
        <v>186</v>
      </c>
      <c r="N43" s="4" t="s">
        <v>188</v>
      </c>
      <c r="O43" s="4">
        <f>97*74*86</f>
        <v>617308</v>
      </c>
      <c r="P43" s="7">
        <f t="shared" si="4"/>
        <v>0.61730799999999997</v>
      </c>
      <c r="Q43" s="7">
        <f t="shared" si="6"/>
        <v>0.61730799999999997</v>
      </c>
    </row>
    <row r="44" spans="1:17" ht="30">
      <c r="A44" s="22">
        <v>18</v>
      </c>
      <c r="B44" s="2" t="s">
        <v>216</v>
      </c>
      <c r="C44" s="22" t="s">
        <v>17</v>
      </c>
      <c r="D44" s="23" t="s">
        <v>17</v>
      </c>
      <c r="E44" s="23" t="s">
        <v>17</v>
      </c>
      <c r="F44" s="2">
        <v>1</v>
      </c>
      <c r="G44" s="12">
        <v>10</v>
      </c>
      <c r="H44" s="4">
        <f t="shared" si="5"/>
        <v>10</v>
      </c>
      <c r="I44" s="7">
        <v>49</v>
      </c>
      <c r="J44" s="7">
        <v>47</v>
      </c>
      <c r="K44" s="7">
        <f t="shared" si="0"/>
        <v>490</v>
      </c>
      <c r="L44" s="7">
        <f t="shared" si="1"/>
        <v>470</v>
      </c>
      <c r="M44" s="8" t="s">
        <v>217</v>
      </c>
      <c r="N44" s="4" t="s">
        <v>218</v>
      </c>
      <c r="O44" s="4">
        <f>90*60*55</f>
        <v>297000</v>
      </c>
      <c r="P44" s="7">
        <f t="shared" si="4"/>
        <v>0.29699999999999999</v>
      </c>
      <c r="Q44" s="7">
        <f t="shared" si="6"/>
        <v>2.9699999999999998</v>
      </c>
    </row>
    <row r="45" spans="1:17" ht="30">
      <c r="A45" s="22">
        <v>19</v>
      </c>
      <c r="B45" s="15" t="s">
        <v>219</v>
      </c>
      <c r="C45" s="22" t="s">
        <v>17</v>
      </c>
      <c r="D45" s="23" t="s">
        <v>17</v>
      </c>
      <c r="E45" s="23" t="s">
        <v>17</v>
      </c>
      <c r="F45" s="2">
        <v>2</v>
      </c>
      <c r="G45" s="12">
        <v>1</v>
      </c>
      <c r="H45" s="4">
        <f t="shared" si="5"/>
        <v>2</v>
      </c>
      <c r="I45" s="7">
        <v>5.5</v>
      </c>
      <c r="J45" s="7">
        <v>5</v>
      </c>
      <c r="K45" s="7">
        <f t="shared" si="0"/>
        <v>5.5</v>
      </c>
      <c r="L45" s="7">
        <f t="shared" si="1"/>
        <v>5</v>
      </c>
      <c r="M45" s="8" t="s">
        <v>220</v>
      </c>
      <c r="N45" s="4" t="s">
        <v>221</v>
      </c>
      <c r="O45" s="4">
        <f>54*38*27</f>
        <v>55404</v>
      </c>
      <c r="P45" s="7">
        <f t="shared" si="4"/>
        <v>5.5404000000000002E-2</v>
      </c>
      <c r="Q45" s="7">
        <f t="shared" si="6"/>
        <v>5.5404000000000002E-2</v>
      </c>
    </row>
    <row r="46" spans="1:17" ht="30">
      <c r="A46" s="32">
        <v>20</v>
      </c>
      <c r="B46" s="32" t="s">
        <v>222</v>
      </c>
      <c r="C46" s="32" t="s">
        <v>17</v>
      </c>
      <c r="D46" s="43" t="s">
        <v>17</v>
      </c>
      <c r="E46" s="43" t="s">
        <v>17</v>
      </c>
      <c r="F46" s="2">
        <v>1</v>
      </c>
      <c r="G46" s="12">
        <v>3</v>
      </c>
      <c r="H46" s="4">
        <f t="shared" si="5"/>
        <v>3</v>
      </c>
      <c r="I46" s="7">
        <v>600</v>
      </c>
      <c r="J46" s="7">
        <v>590</v>
      </c>
      <c r="K46" s="7">
        <f t="shared" si="0"/>
        <v>1800</v>
      </c>
      <c r="L46" s="7">
        <f t="shared" si="1"/>
        <v>1770</v>
      </c>
      <c r="M46" s="8" t="s">
        <v>236</v>
      </c>
      <c r="N46" s="4" t="s">
        <v>238</v>
      </c>
      <c r="O46" s="4">
        <f>155*133*147</f>
        <v>3030405</v>
      </c>
      <c r="P46" s="7">
        <f t="shared" si="4"/>
        <v>3.030405</v>
      </c>
      <c r="Q46" s="7">
        <f t="shared" si="6"/>
        <v>9.091215</v>
      </c>
    </row>
    <row r="47" spans="1:17" ht="30">
      <c r="A47" s="34"/>
      <c r="B47" s="34"/>
      <c r="C47" s="34"/>
      <c r="D47" s="44"/>
      <c r="E47" s="44"/>
      <c r="F47" s="2">
        <v>1</v>
      </c>
      <c r="G47" s="12">
        <v>3</v>
      </c>
      <c r="H47" s="4">
        <f t="shared" si="5"/>
        <v>3</v>
      </c>
      <c r="I47" s="7">
        <v>214</v>
      </c>
      <c r="J47" s="7">
        <v>207</v>
      </c>
      <c r="K47" s="7">
        <f t="shared" si="0"/>
        <v>642</v>
      </c>
      <c r="L47" s="7">
        <f t="shared" si="1"/>
        <v>621</v>
      </c>
      <c r="M47" s="8" t="s">
        <v>237</v>
      </c>
      <c r="N47" s="4" t="s">
        <v>239</v>
      </c>
      <c r="O47" s="4">
        <f>214*92*79</f>
        <v>1555352</v>
      </c>
      <c r="P47" s="7">
        <f t="shared" si="4"/>
        <v>1.5553520000000001</v>
      </c>
      <c r="Q47" s="7">
        <f t="shared" si="6"/>
        <v>4.6660560000000002</v>
      </c>
    </row>
    <row r="48" spans="1:17">
      <c r="A48" s="2"/>
      <c r="B48" s="4"/>
      <c r="C48" s="9"/>
      <c r="D48" s="9"/>
      <c r="E48" s="9"/>
      <c r="F48" s="9"/>
      <c r="G48" s="13">
        <f>SUM(G2:G47)</f>
        <v>345</v>
      </c>
      <c r="H48" s="10"/>
      <c r="I48" s="10"/>
      <c r="J48" s="10"/>
      <c r="K48" s="10">
        <f>SUM(K2:K47)</f>
        <v>16381</v>
      </c>
      <c r="L48" s="10">
        <f>SUM(L2:L47)</f>
        <v>16015.3</v>
      </c>
      <c r="M48" s="10"/>
      <c r="N48" s="10"/>
      <c r="O48" s="10"/>
      <c r="P48" s="16">
        <f>SUM(P2:P47)</f>
        <v>20.610661</v>
      </c>
      <c r="Q48" s="16">
        <f>SUM(Q2:Q47)</f>
        <v>137.05683399999998</v>
      </c>
    </row>
  </sheetData>
  <mergeCells count="49">
    <mergeCell ref="A36:A41"/>
    <mergeCell ref="B36:B41"/>
    <mergeCell ref="C36:C41"/>
    <mergeCell ref="D36:D41"/>
    <mergeCell ref="E36:E41"/>
    <mergeCell ref="B29:B34"/>
    <mergeCell ref="A29:A34"/>
    <mergeCell ref="C29:C34"/>
    <mergeCell ref="D29:D34"/>
    <mergeCell ref="E29:E34"/>
    <mergeCell ref="B24:B28"/>
    <mergeCell ref="A24:A28"/>
    <mergeCell ref="C24:C28"/>
    <mergeCell ref="D24:D28"/>
    <mergeCell ref="E24:E28"/>
    <mergeCell ref="B21:B23"/>
    <mergeCell ref="A21:A23"/>
    <mergeCell ref="C21:C23"/>
    <mergeCell ref="D21:D23"/>
    <mergeCell ref="E21:E23"/>
    <mergeCell ref="B18:B20"/>
    <mergeCell ref="A18:A20"/>
    <mergeCell ref="C18:C20"/>
    <mergeCell ref="D18:D20"/>
    <mergeCell ref="E18:E20"/>
    <mergeCell ref="B2:B3"/>
    <mergeCell ref="A2:A3"/>
    <mergeCell ref="C2:C3"/>
    <mergeCell ref="D2:D3"/>
    <mergeCell ref="E2:E3"/>
    <mergeCell ref="A6:A7"/>
    <mergeCell ref="B6:B7"/>
    <mergeCell ref="C6:C7"/>
    <mergeCell ref="D6:D7"/>
    <mergeCell ref="E6:E7"/>
    <mergeCell ref="B11:B12"/>
    <mergeCell ref="A11:A12"/>
    <mergeCell ref="A13:A16"/>
    <mergeCell ref="B13:B16"/>
    <mergeCell ref="A42:A43"/>
    <mergeCell ref="B42:B43"/>
    <mergeCell ref="C42:C43"/>
    <mergeCell ref="D42:D43"/>
    <mergeCell ref="E42:E43"/>
    <mergeCell ref="B46:B47"/>
    <mergeCell ref="A46:A47"/>
    <mergeCell ref="C46:C47"/>
    <mergeCell ref="D46:D47"/>
    <mergeCell ref="E46:E47"/>
  </mergeCells>
  <pageMargins left="0.23622047244094491" right="0.23622047244094491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DEVICE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2026-03-30T04:03:04Z</dcterms:modified>
</cp:coreProperties>
</file>