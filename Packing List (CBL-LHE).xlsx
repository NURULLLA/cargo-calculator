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bekt\OneDrive\Desktop\Sky_Guard\CARGO CALCULATOR\"/>
    </mc:Choice>
  </mc:AlternateContent>
  <bookViews>
    <workbookView xWindow="0" yWindow="0" windowWidth="17253" windowHeight="9300" activeTab="2"/>
  </bookViews>
  <sheets>
    <sheet name="Sheet1" sheetId="1" r:id="rId1"/>
    <sheet name="page 1" sheetId="3" r:id="rId2"/>
    <sheet name="page 2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2" i="3" l="1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B7" i="3"/>
  <c r="G6" i="3"/>
  <c r="B6" i="3"/>
  <c r="G5" i="3"/>
  <c r="B5" i="3"/>
  <c r="G4" i="3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3" i="2"/>
  <c r="G72" i="2"/>
  <c r="G71" i="2"/>
  <c r="G70" i="2"/>
  <c r="G69" i="2"/>
  <c r="G68" i="2"/>
  <c r="G67" i="2"/>
  <c r="G66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B3" i="2"/>
  <c r="B8" i="3" l="1"/>
  <c r="B9" i="3"/>
  <c r="B4" i="2"/>
  <c r="B5" i="2" s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30" i="1"/>
  <c r="B10" i="3" l="1"/>
  <c r="B6" i="2"/>
  <c r="B7" i="2" s="1"/>
  <c r="F355" i="1"/>
  <c r="B11" i="3" l="1"/>
  <c r="B8" i="2"/>
  <c r="G329" i="1"/>
  <c r="G328" i="1"/>
  <c r="G327" i="1"/>
  <c r="G326" i="1"/>
  <c r="G321" i="1"/>
  <c r="B12" i="3" l="1"/>
  <c r="B13" i="3"/>
  <c r="B9" i="2"/>
  <c r="G320" i="1"/>
  <c r="G319" i="1"/>
  <c r="G318" i="1"/>
  <c r="G317" i="1"/>
  <c r="G316" i="1"/>
  <c r="G315" i="1"/>
  <c r="G314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B3" i="1"/>
  <c r="G2" i="1"/>
  <c r="B14" i="3" l="1"/>
  <c r="B10" i="2"/>
  <c r="B11" i="2" s="1"/>
  <c r="G355" i="1"/>
  <c r="B4" i="1"/>
  <c r="B5" i="1" s="1"/>
  <c r="B15" i="3" l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6" i="1"/>
  <c r="B16" i="3" l="1"/>
  <c r="B36" i="2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78" i="2" s="1"/>
  <c r="B79" i="2" s="1"/>
  <c r="B80" i="2" s="1"/>
  <c r="B81" i="2" s="1"/>
  <c r="B7" i="1"/>
  <c r="B17" i="3" l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8" i="1"/>
  <c r="B152" i="3" l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151" i="3"/>
  <c r="B9" i="1"/>
  <c r="B10" i="1" l="1"/>
  <c r="B11" i="1" s="1"/>
  <c r="B12" i="1" l="1"/>
  <c r="B13" i="1" l="1"/>
  <c r="B14" i="1" l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26" i="1" s="1"/>
  <c r="B327" i="1" l="1"/>
  <c r="B328" i="1" s="1"/>
  <c r="B329" i="1" s="1"/>
</calcChain>
</file>

<file path=xl/sharedStrings.xml><?xml version="1.0" encoding="utf-8"?>
<sst xmlns="http://schemas.openxmlformats.org/spreadsheetml/2006/main" count="21" uniqueCount="7">
  <si>
    <t>Box</t>
  </si>
  <si>
    <t>kg</t>
  </si>
  <si>
    <t>W CM</t>
  </si>
  <si>
    <t>D CM</t>
  </si>
  <si>
    <t>H CM</t>
  </si>
  <si>
    <t>Cube 3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</si>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</sst>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_-&quot;AED&quot;* #,##0.00_-;\-&quot;AED&quot;* #,##0.00_-;_-&quot;AED&quot;* &quot;-&quot;??_-;_-@_-"/>
    <numFmt numFmtId="166" formatCode="0.0"/>
    <numFmt numFmtId="167" formatCode="0.000"/>
    <numFmt numFmtId="168" formatCode="#,##0.0_ ;\-#,##0.0\ "/>
    <numFmt numFmtId="169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" fillId="0" borderId="0"/>
    <xf numFmtId="0" fontId="8" fillId="0" borderId="0"/>
    <xf numFmtId="169" fontId="8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  <xf numFmtId="0" fontId="1" fillId="0" borderId="0"/>
  </cellStyleXfs>
  <cellXfs count="77">
    <xf numFmtId="0" fontId="0" fillId="0" borderId="0" xfId="0"/>
    <xf numFmtId="0" fontId="0" fillId="0" borderId="1" xfId="0" applyBorder="1"/>
    <xf numFmtId="0" fontId="8" fillId="0" borderId="0" xfId="0" applyFont="1"/>
    <xf numFmtId="0" fontId="0" fillId="0" borderId="3" xfId="0" applyBorder="1"/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9" fillId="3" borderId="2" xfId="4" applyFont="1" applyFill="1" applyBorder="1" applyAlignment="1">
      <alignment horizontal="center" vertical="center"/>
    </xf>
    <xf numFmtId="167" fontId="3" fillId="3" borderId="2" xfId="6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7" fontId="11" fillId="3" borderId="2" xfId="6" applyNumberFormat="1" applyFont="1" applyFill="1" applyBorder="1" applyAlignment="1" applyProtection="1">
      <alignment horizontal="center" vertical="center"/>
      <protection locked="0"/>
    </xf>
    <xf numFmtId="0" fontId="3" fillId="3" borderId="2" xfId="6" applyFont="1" applyFill="1" applyBorder="1" applyAlignment="1" applyProtection="1">
      <alignment horizontal="center" vertical="center"/>
      <protection locked="0"/>
    </xf>
    <xf numFmtId="0" fontId="3" fillId="3" borderId="2" xfId="3" applyFont="1" applyFill="1" applyBorder="1" applyAlignment="1" applyProtection="1">
      <alignment horizontal="center" vertical="center"/>
      <protection locked="0"/>
    </xf>
    <xf numFmtId="167" fontId="3" fillId="3" borderId="2" xfId="6" applyNumberFormat="1" applyFont="1" applyFill="1" applyBorder="1" applyAlignment="1" applyProtection="1">
      <alignment horizontal="center" vertical="center"/>
      <protection locked="0"/>
    </xf>
    <xf numFmtId="0" fontId="3" fillId="3" borderId="2" xfId="3" applyFont="1" applyFill="1" applyBorder="1" applyAlignment="1">
      <alignment horizontal="center" vertical="center"/>
    </xf>
    <xf numFmtId="0" fontId="7" fillId="3" borderId="2" xfId="6" applyFont="1" applyFill="1" applyBorder="1" applyAlignment="1" applyProtection="1">
      <alignment horizontal="center" vertical="center"/>
      <protection locked="0"/>
    </xf>
    <xf numFmtId="1" fontId="7" fillId="3" borderId="2" xfId="6" applyNumberFormat="1" applyFont="1" applyFill="1" applyBorder="1" applyAlignment="1" applyProtection="1">
      <alignment horizontal="center" vertical="center"/>
      <protection locked="0"/>
    </xf>
    <xf numFmtId="167" fontId="7" fillId="3" borderId="2" xfId="6" applyNumberFormat="1" applyFont="1" applyFill="1" applyBorder="1" applyAlignment="1" applyProtection="1">
      <alignment horizontal="center" vertical="center"/>
      <protection locked="0"/>
    </xf>
    <xf numFmtId="0" fontId="3" fillId="3" borderId="2" xfId="4" applyFont="1" applyFill="1" applyBorder="1" applyAlignment="1">
      <alignment horizontal="center" vertical="center"/>
    </xf>
    <xf numFmtId="1" fontId="6" fillId="3" borderId="2" xfId="2" applyNumberFormat="1" applyFont="1" applyFill="1" applyBorder="1" applyAlignment="1">
      <alignment horizontal="center" vertical="center"/>
    </xf>
    <xf numFmtId="0" fontId="7" fillId="3" borderId="2" xfId="3" applyFont="1" applyFill="1" applyBorder="1" applyAlignment="1">
      <alignment horizontal="center" vertical="center"/>
    </xf>
    <xf numFmtId="3" fontId="7" fillId="3" borderId="2" xfId="3" applyNumberFormat="1" applyFont="1" applyFill="1" applyBorder="1" applyAlignment="1">
      <alignment horizontal="center" vertical="center"/>
    </xf>
    <xf numFmtId="0" fontId="7" fillId="3" borderId="2" xfId="7" applyFont="1" applyFill="1" applyBorder="1" applyAlignment="1">
      <alignment horizontal="center" vertical="center"/>
    </xf>
    <xf numFmtId="3" fontId="7" fillId="3" borderId="2" xfId="7" applyNumberFormat="1" applyFont="1" applyFill="1" applyBorder="1" applyAlignment="1">
      <alignment horizontal="center" vertical="center"/>
    </xf>
    <xf numFmtId="3" fontId="3" fillId="3" borderId="2" xfId="4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167" fontId="9" fillId="3" borderId="2" xfId="0" applyNumberFormat="1" applyFont="1" applyFill="1" applyBorder="1" applyAlignment="1">
      <alignment horizontal="center" vertical="center"/>
    </xf>
    <xf numFmtId="3" fontId="3" fillId="3" borderId="2" xfId="3" applyNumberFormat="1" applyFont="1" applyFill="1" applyBorder="1" applyAlignment="1">
      <alignment horizontal="center" vertical="center"/>
    </xf>
    <xf numFmtId="0" fontId="6" fillId="3" borderId="2" xfId="4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center" vertical="center"/>
    </xf>
    <xf numFmtId="0" fontId="3" fillId="3" borderId="2" xfId="6" applyFont="1" applyFill="1" applyBorder="1" applyAlignment="1">
      <alignment horizontal="center" vertical="center"/>
    </xf>
    <xf numFmtId="1" fontId="3" fillId="3" borderId="2" xfId="3" applyNumberFormat="1" applyFont="1" applyFill="1" applyBorder="1" applyAlignment="1">
      <alignment horizontal="center" vertical="center"/>
    </xf>
    <xf numFmtId="0" fontId="3" fillId="3" borderId="2" xfId="8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6" fillId="3" borderId="2" xfId="2" applyFont="1" applyFill="1" applyBorder="1" applyAlignment="1" applyProtection="1">
      <alignment horizontal="center" vertical="center"/>
      <protection locked="0" hidden="1"/>
    </xf>
    <xf numFmtId="0" fontId="3" fillId="3" borderId="2" xfId="2" applyFont="1" applyFill="1" applyBorder="1" applyAlignment="1">
      <alignment horizontal="center" vertical="center"/>
    </xf>
    <xf numFmtId="1" fontId="3" fillId="3" borderId="2" xfId="4" applyNumberFormat="1" applyFont="1" applyFill="1" applyBorder="1" applyAlignment="1">
      <alignment horizontal="center" vertical="center"/>
    </xf>
    <xf numFmtId="0" fontId="3" fillId="3" borderId="2" xfId="4" applyFont="1" applyFill="1" applyBorder="1" applyAlignment="1" applyProtection="1">
      <alignment horizontal="center" vertical="center"/>
      <protection locked="0"/>
    </xf>
    <xf numFmtId="3" fontId="6" fillId="3" borderId="2" xfId="2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166" fontId="6" fillId="3" borderId="2" xfId="2" applyNumberFormat="1" applyFont="1" applyFill="1" applyBorder="1" applyAlignment="1">
      <alignment horizontal="center" vertical="center"/>
    </xf>
    <xf numFmtId="0" fontId="3" fillId="3" borderId="2" xfId="10" applyFont="1" applyFill="1" applyBorder="1" applyAlignment="1">
      <alignment horizontal="center" vertical="center"/>
    </xf>
    <xf numFmtId="0" fontId="7" fillId="3" borderId="2" xfId="6" applyFont="1" applyFill="1" applyBorder="1" applyAlignment="1">
      <alignment horizontal="center" vertical="center"/>
    </xf>
    <xf numFmtId="3" fontId="3" fillId="3" borderId="2" xfId="8" applyNumberFormat="1" applyFont="1" applyFill="1" applyBorder="1" applyAlignment="1">
      <alignment horizontal="center" vertical="center"/>
    </xf>
    <xf numFmtId="3" fontId="6" fillId="3" borderId="2" xfId="4" applyNumberFormat="1" applyFont="1" applyFill="1" applyBorder="1" applyAlignment="1">
      <alignment horizontal="center" vertical="center"/>
    </xf>
    <xf numFmtId="3" fontId="7" fillId="3" borderId="2" xfId="3" applyNumberFormat="1" applyFont="1" applyFill="1" applyBorder="1" applyAlignment="1" applyProtection="1">
      <alignment horizontal="center" vertical="center"/>
      <protection locked="0"/>
    </xf>
    <xf numFmtId="3" fontId="11" fillId="3" borderId="2" xfId="3" applyNumberFormat="1" applyFont="1" applyFill="1" applyBorder="1" applyAlignment="1" applyProtection="1">
      <alignment horizontal="center" vertical="center"/>
      <protection locked="0"/>
    </xf>
    <xf numFmtId="0" fontId="9" fillId="3" borderId="2" xfId="3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67" fontId="11" fillId="3" borderId="7" xfId="6" applyNumberFormat="1" applyFont="1" applyFill="1" applyBorder="1" applyAlignment="1" applyProtection="1">
      <alignment horizontal="center" vertical="center"/>
      <protection locked="0"/>
    </xf>
    <xf numFmtId="0" fontId="0" fillId="4" borderId="8" xfId="0" applyFill="1" applyBorder="1" applyAlignment="1">
      <alignment horizontal="center" vertical="center"/>
    </xf>
    <xf numFmtId="0" fontId="6" fillId="4" borderId="8" xfId="2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67" fontId="7" fillId="4" borderId="8" xfId="6" applyNumberFormat="1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6" fillId="4" borderId="2" xfId="4" applyFont="1" applyFill="1" applyBorder="1" applyAlignment="1">
      <alignment horizontal="center" vertical="center"/>
    </xf>
    <xf numFmtId="167" fontId="7" fillId="4" borderId="2" xfId="6" applyNumberFormat="1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>
      <alignment horizontal="center" vertical="center"/>
    </xf>
    <xf numFmtId="166" fontId="13" fillId="4" borderId="2" xfId="0" applyNumberFormat="1" applyFont="1" applyFill="1" applyBorder="1" applyAlignment="1">
      <alignment horizontal="center" vertical="center"/>
    </xf>
    <xf numFmtId="168" fontId="13" fillId="4" borderId="2" xfId="1" applyNumberFormat="1" applyFont="1" applyFill="1" applyBorder="1" applyAlignment="1">
      <alignment horizontal="center" vertical="center"/>
    </xf>
    <xf numFmtId="0" fontId="13" fillId="4" borderId="2" xfId="5" applyFont="1" applyFill="1" applyBorder="1" applyAlignment="1">
      <alignment horizontal="center" vertical="center"/>
    </xf>
    <xf numFmtId="166" fontId="13" fillId="4" borderId="2" xfId="5" applyNumberFormat="1" applyFont="1" applyFill="1" applyBorder="1" applyAlignment="1">
      <alignment horizontal="center" vertical="center"/>
    </xf>
    <xf numFmtId="168" fontId="13" fillId="4" borderId="2" xfId="16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7" fontId="2" fillId="5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0">
    <cellStyle name="Comma 2" xfId="18"/>
    <cellStyle name="Currency 2" xfId="16"/>
    <cellStyle name="Normal 10" xfId="3"/>
    <cellStyle name="Normal 10 2 2" xfId="10"/>
    <cellStyle name="Normal 2" xfId="2"/>
    <cellStyle name="Normal 2 2" xfId="5"/>
    <cellStyle name="Normal 2 3" xfId="4"/>
    <cellStyle name="Normal 2 3 2" xfId="8"/>
    <cellStyle name="Normal 2 3 2 2" xfId="11"/>
    <cellStyle name="Normal 3" xfId="17"/>
    <cellStyle name="Normal 3 10 2 2" xfId="14"/>
    <cellStyle name="Normal 3 17" xfId="7"/>
    <cellStyle name="Normal 3 2" xfId="19"/>
    <cellStyle name="Normal 3 5" xfId="13"/>
    <cellStyle name="Normal 5" xfId="6"/>
    <cellStyle name="Normal 5 2" xfId="15"/>
    <cellStyle name="Normal 7" xfId="9"/>
    <cellStyle name="Normal 8 2" xfId="12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5"/>
  <sheetViews>
    <sheetView zoomScale="175" zoomScaleNormal="175" workbookViewId="0">
      <pane ySplit="1" topLeftCell="A2" activePane="bottomLeft" state="frozen"/>
      <selection pane="bottomLeft" activeCell="A250" sqref="A1:G250"/>
    </sheetView>
  </sheetViews>
  <sheetFormatPr defaultRowHeight="14.35" x14ac:dyDescent="0.5"/>
  <cols>
    <col min="1" max="1" width="4.1171875" bestFit="1" customWidth="1"/>
    <col min="2" max="7" width="9.1171875" style="6"/>
  </cols>
  <sheetData>
    <row r="1" spans="1:7" x14ac:dyDescent="0.5">
      <c r="A1" s="7" t="s">
        <v>6</v>
      </c>
      <c r="B1" s="4" t="s">
        <v>0</v>
      </c>
      <c r="C1" s="4" t="s">
        <v>2</v>
      </c>
      <c r="D1" s="4" t="s">
        <v>3</v>
      </c>
      <c r="E1" s="4" t="s">
        <v>4</v>
      </c>
      <c r="F1" s="5" t="s">
        <v>1</v>
      </c>
      <c r="G1" s="4" t="s">
        <v>5</v>
      </c>
    </row>
    <row r="2" spans="1:7" x14ac:dyDescent="0.5">
      <c r="A2" s="8">
        <v>1</v>
      </c>
      <c r="B2" s="9">
        <v>1001</v>
      </c>
      <c r="C2" s="10">
        <v>170</v>
      </c>
      <c r="D2" s="10">
        <v>109</v>
      </c>
      <c r="E2" s="10">
        <v>67</v>
      </c>
      <c r="F2" s="10">
        <v>236</v>
      </c>
      <c r="G2" s="11">
        <f t="shared" ref="G2:G33" si="0">PRODUCT(C2:E2)/1000000</f>
        <v>1.2415099999999999</v>
      </c>
    </row>
    <row r="3" spans="1:7" x14ac:dyDescent="0.5">
      <c r="A3" s="8">
        <v>2</v>
      </c>
      <c r="B3" s="9">
        <f>COUNTIF($B$1:B2, "&gt;0")+1001</f>
        <v>1002</v>
      </c>
      <c r="C3" s="10">
        <v>170</v>
      </c>
      <c r="D3" s="10">
        <v>109</v>
      </c>
      <c r="E3" s="10">
        <v>67</v>
      </c>
      <c r="F3" s="10">
        <v>225</v>
      </c>
      <c r="G3" s="11">
        <f t="shared" si="0"/>
        <v>1.2415099999999999</v>
      </c>
    </row>
    <row r="4" spans="1:7" x14ac:dyDescent="0.5">
      <c r="A4" s="8">
        <v>3</v>
      </c>
      <c r="B4" s="9">
        <f>COUNTIF($B$1:B3, "&gt;0")+1001</f>
        <v>1003</v>
      </c>
      <c r="C4" s="12">
        <v>90</v>
      </c>
      <c r="D4" s="12">
        <v>66</v>
      </c>
      <c r="E4" s="12">
        <v>55</v>
      </c>
      <c r="F4" s="12">
        <v>70</v>
      </c>
      <c r="G4" s="13">
        <f t="shared" si="0"/>
        <v>0.32669999999999999</v>
      </c>
    </row>
    <row r="5" spans="1:7" x14ac:dyDescent="0.5">
      <c r="A5" s="8">
        <v>4</v>
      </c>
      <c r="B5" s="9">
        <f>COUNTIF($B$1:B4, "&gt;0")+1001</f>
        <v>1004</v>
      </c>
      <c r="C5" s="14">
        <v>109</v>
      </c>
      <c r="D5" s="14">
        <v>65</v>
      </c>
      <c r="E5" s="14">
        <v>102</v>
      </c>
      <c r="F5" s="15">
        <v>143</v>
      </c>
      <c r="G5" s="16">
        <f t="shared" si="0"/>
        <v>0.72267000000000003</v>
      </c>
    </row>
    <row r="6" spans="1:7" x14ac:dyDescent="0.5">
      <c r="A6" s="8">
        <v>5</v>
      </c>
      <c r="B6" s="9">
        <f>COUNTIF($B$1:B5, "&gt;0")+1001</f>
        <v>1005</v>
      </c>
      <c r="C6" s="14">
        <v>109</v>
      </c>
      <c r="D6" s="14">
        <v>65</v>
      </c>
      <c r="E6" s="14">
        <v>102</v>
      </c>
      <c r="F6" s="15">
        <v>143</v>
      </c>
      <c r="G6" s="16">
        <f t="shared" si="0"/>
        <v>0.72267000000000003</v>
      </c>
    </row>
    <row r="7" spans="1:7" x14ac:dyDescent="0.5">
      <c r="A7" s="8">
        <v>6</v>
      </c>
      <c r="B7" s="9">
        <f>COUNTIF($B$1:B6, "&gt;0")+1001</f>
        <v>1006</v>
      </c>
      <c r="C7" s="17">
        <v>170</v>
      </c>
      <c r="D7" s="17">
        <v>109</v>
      </c>
      <c r="E7" s="17">
        <v>67</v>
      </c>
      <c r="F7" s="17">
        <v>159</v>
      </c>
      <c r="G7" s="16">
        <f t="shared" si="0"/>
        <v>1.2415099999999999</v>
      </c>
    </row>
    <row r="8" spans="1:7" x14ac:dyDescent="0.5">
      <c r="A8" s="8">
        <v>7</v>
      </c>
      <c r="B8" s="9">
        <f>COUNTIF($B$1:B7, "&gt;0")+1001</f>
        <v>1007</v>
      </c>
      <c r="C8" s="18">
        <v>170</v>
      </c>
      <c r="D8" s="18">
        <v>109</v>
      </c>
      <c r="E8" s="18">
        <v>67</v>
      </c>
      <c r="F8" s="19">
        <v>160</v>
      </c>
      <c r="G8" s="20">
        <f t="shared" si="0"/>
        <v>1.2415099999999999</v>
      </c>
    </row>
    <row r="9" spans="1:7" x14ac:dyDescent="0.5">
      <c r="A9" s="8">
        <v>8</v>
      </c>
      <c r="B9" s="9">
        <f>COUNTIF($B$1:B8, "&gt;0")+1001</f>
        <v>1008</v>
      </c>
      <c r="C9" s="21">
        <v>131</v>
      </c>
      <c r="D9" s="21">
        <v>44</v>
      </c>
      <c r="E9" s="21">
        <v>83</v>
      </c>
      <c r="F9" s="21">
        <v>76</v>
      </c>
      <c r="G9" s="20">
        <f t="shared" si="0"/>
        <v>0.478412</v>
      </c>
    </row>
    <row r="10" spans="1:7" x14ac:dyDescent="0.5">
      <c r="A10" s="8">
        <v>9</v>
      </c>
      <c r="B10" s="9">
        <f>COUNTIF($B$1:B9, "&gt;0")+1001</f>
        <v>1009</v>
      </c>
      <c r="C10" s="21">
        <v>58</v>
      </c>
      <c r="D10" s="21">
        <v>50</v>
      </c>
      <c r="E10" s="21">
        <v>54</v>
      </c>
      <c r="F10" s="21">
        <v>40</v>
      </c>
      <c r="G10" s="20">
        <f t="shared" si="0"/>
        <v>0.15659999999999999</v>
      </c>
    </row>
    <row r="11" spans="1:7" x14ac:dyDescent="0.5">
      <c r="A11" s="8">
        <v>10</v>
      </c>
      <c r="B11" s="9">
        <f>COUNTIF($B$1:B10, "&gt;0")+1001</f>
        <v>1010</v>
      </c>
      <c r="C11" s="17">
        <v>50</v>
      </c>
      <c r="D11" s="17">
        <v>25</v>
      </c>
      <c r="E11" s="17">
        <v>55</v>
      </c>
      <c r="F11" s="17">
        <v>9</v>
      </c>
      <c r="G11" s="20">
        <f t="shared" si="0"/>
        <v>6.8750000000000006E-2</v>
      </c>
    </row>
    <row r="12" spans="1:7" x14ac:dyDescent="0.5">
      <c r="A12" s="8">
        <v>11</v>
      </c>
      <c r="B12" s="9">
        <f>COUNTIF($B$1:B11, "&gt;0")+1001</f>
        <v>1011</v>
      </c>
      <c r="C12" s="17">
        <v>64</v>
      </c>
      <c r="D12" s="17">
        <v>58</v>
      </c>
      <c r="E12" s="17">
        <v>29</v>
      </c>
      <c r="F12" s="22">
        <v>31</v>
      </c>
      <c r="G12" s="13">
        <f t="shared" si="0"/>
        <v>0.10764799999999999</v>
      </c>
    </row>
    <row r="13" spans="1:7" x14ac:dyDescent="0.5">
      <c r="A13" s="8">
        <v>12</v>
      </c>
      <c r="B13" s="9">
        <f>COUNTIF($B$1:B12, "&gt;0")+1001</f>
        <v>1012</v>
      </c>
      <c r="C13" s="17">
        <v>64</v>
      </c>
      <c r="D13" s="17">
        <v>58</v>
      </c>
      <c r="E13" s="17">
        <v>29</v>
      </c>
      <c r="F13" s="22">
        <v>31</v>
      </c>
      <c r="G13" s="13">
        <f t="shared" si="0"/>
        <v>0.10764799999999999</v>
      </c>
    </row>
    <row r="14" spans="1:7" x14ac:dyDescent="0.5">
      <c r="A14" s="8">
        <v>13</v>
      </c>
      <c r="B14" s="9">
        <f>COUNTIF($B$1:B13, "&gt;0")+1001</f>
        <v>1013</v>
      </c>
      <c r="C14" s="23">
        <v>58</v>
      </c>
      <c r="D14" s="23">
        <v>38</v>
      </c>
      <c r="E14" s="23">
        <v>25</v>
      </c>
      <c r="F14" s="24">
        <v>9</v>
      </c>
      <c r="G14" s="20">
        <f t="shared" si="0"/>
        <v>5.5100000000000003E-2</v>
      </c>
    </row>
    <row r="15" spans="1:7" x14ac:dyDescent="0.5">
      <c r="A15" s="8">
        <v>14</v>
      </c>
      <c r="B15" s="9">
        <f>COUNTIF($B$1:B14, "&gt;0")+1001</f>
        <v>1014</v>
      </c>
      <c r="C15" s="23">
        <v>58</v>
      </c>
      <c r="D15" s="23">
        <v>38</v>
      </c>
      <c r="E15" s="23">
        <v>25</v>
      </c>
      <c r="F15" s="24">
        <v>9</v>
      </c>
      <c r="G15" s="20">
        <f t="shared" si="0"/>
        <v>5.5100000000000003E-2</v>
      </c>
    </row>
    <row r="16" spans="1:7" x14ac:dyDescent="0.5">
      <c r="A16" s="8">
        <v>15</v>
      </c>
      <c r="B16" s="9">
        <f>COUNTIF($B$1:B15, "&gt;0")+1001</f>
        <v>1015</v>
      </c>
      <c r="C16" s="23">
        <v>58</v>
      </c>
      <c r="D16" s="23">
        <v>38</v>
      </c>
      <c r="E16" s="23">
        <v>25</v>
      </c>
      <c r="F16" s="24">
        <v>9</v>
      </c>
      <c r="G16" s="20">
        <f t="shared" si="0"/>
        <v>5.5100000000000003E-2</v>
      </c>
    </row>
    <row r="17" spans="1:7" x14ac:dyDescent="0.5">
      <c r="A17" s="8">
        <v>16</v>
      </c>
      <c r="B17" s="9">
        <f>COUNTIF($B$1:B16, "&gt;0")+1001</f>
        <v>1016</v>
      </c>
      <c r="C17" s="23">
        <v>58</v>
      </c>
      <c r="D17" s="23">
        <v>38</v>
      </c>
      <c r="E17" s="23">
        <v>25</v>
      </c>
      <c r="F17" s="24">
        <v>9</v>
      </c>
      <c r="G17" s="20">
        <f t="shared" si="0"/>
        <v>5.5100000000000003E-2</v>
      </c>
    </row>
    <row r="18" spans="1:7" x14ac:dyDescent="0.5">
      <c r="A18" s="8">
        <v>17</v>
      </c>
      <c r="B18" s="9">
        <f>COUNTIF($B$1:B17, "&gt;0")+1001</f>
        <v>1017</v>
      </c>
      <c r="C18" s="25">
        <v>120</v>
      </c>
      <c r="D18" s="25">
        <v>44</v>
      </c>
      <c r="E18" s="25">
        <v>78</v>
      </c>
      <c r="F18" s="26">
        <v>73</v>
      </c>
      <c r="G18" s="20">
        <f t="shared" si="0"/>
        <v>0.41183999999999998</v>
      </c>
    </row>
    <row r="19" spans="1:7" x14ac:dyDescent="0.5">
      <c r="A19" s="8">
        <v>18</v>
      </c>
      <c r="B19" s="9">
        <f>COUNTIF($B$1:B18, "&gt;0")+1001</f>
        <v>1018</v>
      </c>
      <c r="C19" s="25">
        <v>120</v>
      </c>
      <c r="D19" s="25">
        <v>44</v>
      </c>
      <c r="E19" s="25">
        <v>78</v>
      </c>
      <c r="F19" s="26">
        <v>73</v>
      </c>
      <c r="G19" s="20">
        <f t="shared" si="0"/>
        <v>0.41183999999999998</v>
      </c>
    </row>
    <row r="20" spans="1:7" x14ac:dyDescent="0.5">
      <c r="A20" s="8">
        <v>19</v>
      </c>
      <c r="B20" s="9">
        <f>COUNTIF($B$1:B19, "&gt;0")+1001</f>
        <v>1019</v>
      </c>
      <c r="C20" s="25">
        <v>120</v>
      </c>
      <c r="D20" s="25">
        <v>44</v>
      </c>
      <c r="E20" s="25">
        <v>78</v>
      </c>
      <c r="F20" s="26">
        <v>73</v>
      </c>
      <c r="G20" s="20">
        <f t="shared" si="0"/>
        <v>0.41183999999999998</v>
      </c>
    </row>
    <row r="21" spans="1:7" x14ac:dyDescent="0.5">
      <c r="A21" s="8">
        <v>20</v>
      </c>
      <c r="B21" s="9">
        <f>COUNTIF($B$1:B20, "&gt;0")+1001</f>
        <v>1020</v>
      </c>
      <c r="C21" s="25">
        <v>120</v>
      </c>
      <c r="D21" s="25">
        <v>44</v>
      </c>
      <c r="E21" s="25">
        <v>78</v>
      </c>
      <c r="F21" s="26">
        <v>73</v>
      </c>
      <c r="G21" s="20">
        <f t="shared" si="0"/>
        <v>0.41183999999999998</v>
      </c>
    </row>
    <row r="22" spans="1:7" x14ac:dyDescent="0.5">
      <c r="A22" s="8">
        <v>21</v>
      </c>
      <c r="B22" s="9">
        <f>COUNTIF($B$1:B21, "&gt;0")+1001</f>
        <v>1021</v>
      </c>
      <c r="C22" s="21">
        <v>120</v>
      </c>
      <c r="D22" s="21">
        <v>91</v>
      </c>
      <c r="E22" s="21">
        <v>34</v>
      </c>
      <c r="F22" s="27">
        <v>56</v>
      </c>
      <c r="G22" s="20">
        <f t="shared" si="0"/>
        <v>0.37128</v>
      </c>
    </row>
    <row r="23" spans="1:7" x14ac:dyDescent="0.5">
      <c r="A23" s="8">
        <v>22</v>
      </c>
      <c r="B23" s="9">
        <f>COUNTIF($B$1:B22, "&gt;0")+1001</f>
        <v>1022</v>
      </c>
      <c r="C23" s="21">
        <v>120</v>
      </c>
      <c r="D23" s="21">
        <v>91</v>
      </c>
      <c r="E23" s="21">
        <v>34</v>
      </c>
      <c r="F23" s="27">
        <v>56</v>
      </c>
      <c r="G23" s="20">
        <f t="shared" si="0"/>
        <v>0.37128</v>
      </c>
    </row>
    <row r="24" spans="1:7" x14ac:dyDescent="0.5">
      <c r="A24" s="8">
        <v>23</v>
      </c>
      <c r="B24" s="9">
        <f>COUNTIF($B$1:B23, "&gt;0")+1001</f>
        <v>1023</v>
      </c>
      <c r="C24" s="21">
        <v>120</v>
      </c>
      <c r="D24" s="21">
        <v>91</v>
      </c>
      <c r="E24" s="21">
        <v>34</v>
      </c>
      <c r="F24" s="27">
        <v>56</v>
      </c>
      <c r="G24" s="20">
        <f t="shared" si="0"/>
        <v>0.37128</v>
      </c>
    </row>
    <row r="25" spans="1:7" x14ac:dyDescent="0.5">
      <c r="A25" s="8">
        <v>24</v>
      </c>
      <c r="B25" s="9">
        <f>COUNTIF($B$1:B24, "&gt;0")+1001</f>
        <v>1024</v>
      </c>
      <c r="C25" s="21">
        <v>120</v>
      </c>
      <c r="D25" s="21">
        <v>91</v>
      </c>
      <c r="E25" s="21">
        <v>34</v>
      </c>
      <c r="F25" s="27">
        <v>56</v>
      </c>
      <c r="G25" s="20">
        <f t="shared" si="0"/>
        <v>0.37128</v>
      </c>
    </row>
    <row r="26" spans="1:7" x14ac:dyDescent="0.5">
      <c r="A26" s="8">
        <v>25</v>
      </c>
      <c r="B26" s="9">
        <f>COUNTIF($B$1:B25, "&gt;0")+1001</f>
        <v>1025</v>
      </c>
      <c r="C26" s="21">
        <v>120</v>
      </c>
      <c r="D26" s="21">
        <v>91</v>
      </c>
      <c r="E26" s="21">
        <v>34</v>
      </c>
      <c r="F26" s="27">
        <v>56</v>
      </c>
      <c r="G26" s="20">
        <f t="shared" si="0"/>
        <v>0.37128</v>
      </c>
    </row>
    <row r="27" spans="1:7" x14ac:dyDescent="0.5">
      <c r="A27" s="8">
        <v>26</v>
      </c>
      <c r="B27" s="9">
        <f>COUNTIF($B$1:B26, "&gt;0")+1001</f>
        <v>1026</v>
      </c>
      <c r="C27" s="10">
        <v>156</v>
      </c>
      <c r="D27" s="10">
        <v>13</v>
      </c>
      <c r="E27" s="10">
        <v>13</v>
      </c>
      <c r="F27" s="10">
        <v>5</v>
      </c>
      <c r="G27" s="20">
        <f t="shared" si="0"/>
        <v>2.6363999999999999E-2</v>
      </c>
    </row>
    <row r="28" spans="1:7" x14ac:dyDescent="0.5">
      <c r="A28" s="8">
        <v>27</v>
      </c>
      <c r="B28" s="9">
        <f>COUNTIF($B$1:B27, "&gt;0")+1001</f>
        <v>1027</v>
      </c>
      <c r="C28" s="10">
        <v>156</v>
      </c>
      <c r="D28" s="10">
        <v>13</v>
      </c>
      <c r="E28" s="10">
        <v>13</v>
      </c>
      <c r="F28" s="10">
        <v>5</v>
      </c>
      <c r="G28" s="20">
        <f t="shared" si="0"/>
        <v>2.6363999999999999E-2</v>
      </c>
    </row>
    <row r="29" spans="1:7" x14ac:dyDescent="0.5">
      <c r="A29" s="8">
        <v>28</v>
      </c>
      <c r="B29" s="9">
        <f>COUNTIF($B$1:B28, "&gt;0")+1001</f>
        <v>1028</v>
      </c>
      <c r="C29" s="10">
        <v>156</v>
      </c>
      <c r="D29" s="10">
        <v>13</v>
      </c>
      <c r="E29" s="10">
        <v>13</v>
      </c>
      <c r="F29" s="10">
        <v>5</v>
      </c>
      <c r="G29" s="20">
        <f t="shared" si="0"/>
        <v>2.6363999999999999E-2</v>
      </c>
    </row>
    <row r="30" spans="1:7" x14ac:dyDescent="0.5">
      <c r="A30" s="8">
        <v>29</v>
      </c>
      <c r="B30" s="9">
        <f>COUNTIF($B$1:B29, "&gt;0")+1001</f>
        <v>1029</v>
      </c>
      <c r="C30" s="10">
        <v>156</v>
      </c>
      <c r="D30" s="10">
        <v>13</v>
      </c>
      <c r="E30" s="10">
        <v>13</v>
      </c>
      <c r="F30" s="10">
        <v>5</v>
      </c>
      <c r="G30" s="20">
        <f t="shared" si="0"/>
        <v>2.6363999999999999E-2</v>
      </c>
    </row>
    <row r="31" spans="1:7" x14ac:dyDescent="0.5">
      <c r="A31" s="8">
        <v>30</v>
      </c>
      <c r="B31" s="9">
        <f>COUNTIF($B$1:B30, "&gt;0")+1001</f>
        <v>1030</v>
      </c>
      <c r="C31" s="10">
        <v>156</v>
      </c>
      <c r="D31" s="10">
        <v>13</v>
      </c>
      <c r="E31" s="10">
        <v>13</v>
      </c>
      <c r="F31" s="10">
        <v>5</v>
      </c>
      <c r="G31" s="20">
        <f t="shared" si="0"/>
        <v>2.6363999999999999E-2</v>
      </c>
    </row>
    <row r="32" spans="1:7" x14ac:dyDescent="0.5">
      <c r="A32" s="8">
        <v>31</v>
      </c>
      <c r="B32" s="9">
        <f>COUNTIF($B$1:B31, "&gt;0")+1001</f>
        <v>1031</v>
      </c>
      <c r="C32" s="10">
        <v>156</v>
      </c>
      <c r="D32" s="10">
        <v>13</v>
      </c>
      <c r="E32" s="10">
        <v>13</v>
      </c>
      <c r="F32" s="10">
        <v>5</v>
      </c>
      <c r="G32" s="20">
        <f t="shared" si="0"/>
        <v>2.6363999999999999E-2</v>
      </c>
    </row>
    <row r="33" spans="1:7" x14ac:dyDescent="0.5">
      <c r="A33" s="8">
        <v>32</v>
      </c>
      <c r="B33" s="9">
        <f>COUNTIF($B$1:B32, "&gt;0")+1001</f>
        <v>1032</v>
      </c>
      <c r="C33" s="10">
        <v>156</v>
      </c>
      <c r="D33" s="10">
        <v>13</v>
      </c>
      <c r="E33" s="10">
        <v>13</v>
      </c>
      <c r="F33" s="10">
        <v>5</v>
      </c>
      <c r="G33" s="20">
        <f t="shared" si="0"/>
        <v>2.6363999999999999E-2</v>
      </c>
    </row>
    <row r="34" spans="1:7" x14ac:dyDescent="0.5">
      <c r="A34" s="8">
        <v>33</v>
      </c>
      <c r="B34" s="9">
        <f>COUNTIF($B$1:B33, "&gt;0")+1001</f>
        <v>1033</v>
      </c>
      <c r="C34" s="10">
        <v>156</v>
      </c>
      <c r="D34" s="10">
        <v>13</v>
      </c>
      <c r="E34" s="10">
        <v>13</v>
      </c>
      <c r="F34" s="10">
        <v>5</v>
      </c>
      <c r="G34" s="20">
        <f t="shared" ref="G34:G54" si="1">PRODUCT(C34:E34)/1000000</f>
        <v>2.6363999999999999E-2</v>
      </c>
    </row>
    <row r="35" spans="1:7" x14ac:dyDescent="0.5">
      <c r="A35" s="8">
        <v>34</v>
      </c>
      <c r="B35" s="9">
        <f>COUNTIF($B$1:B34, "&gt;0")+1001</f>
        <v>1034</v>
      </c>
      <c r="C35" s="10">
        <v>156</v>
      </c>
      <c r="D35" s="10">
        <v>13</v>
      </c>
      <c r="E35" s="10">
        <v>13</v>
      </c>
      <c r="F35" s="10">
        <v>5</v>
      </c>
      <c r="G35" s="20">
        <f t="shared" si="1"/>
        <v>2.6363999999999999E-2</v>
      </c>
    </row>
    <row r="36" spans="1:7" x14ac:dyDescent="0.5">
      <c r="A36" s="8">
        <v>35</v>
      </c>
      <c r="B36" s="9">
        <f>COUNTIF($B$1:B35, "&gt;0")+1001</f>
        <v>1035</v>
      </c>
      <c r="C36" s="21">
        <v>208</v>
      </c>
      <c r="D36" s="21">
        <v>14</v>
      </c>
      <c r="E36" s="21">
        <v>14</v>
      </c>
      <c r="F36" s="21">
        <v>11</v>
      </c>
      <c r="G36" s="20">
        <f t="shared" si="1"/>
        <v>4.0767999999999999E-2</v>
      </c>
    </row>
    <row r="37" spans="1:7" x14ac:dyDescent="0.5">
      <c r="A37" s="8">
        <v>36</v>
      </c>
      <c r="B37" s="9">
        <f>COUNTIF($B$1:B36, "&gt;0")+1001</f>
        <v>1036</v>
      </c>
      <c r="C37" s="21">
        <v>208</v>
      </c>
      <c r="D37" s="21">
        <v>14</v>
      </c>
      <c r="E37" s="21">
        <v>14</v>
      </c>
      <c r="F37" s="21">
        <v>11</v>
      </c>
      <c r="G37" s="20">
        <f t="shared" si="1"/>
        <v>4.0767999999999999E-2</v>
      </c>
    </row>
    <row r="38" spans="1:7" x14ac:dyDescent="0.5">
      <c r="A38" s="8">
        <v>37</v>
      </c>
      <c r="B38" s="9">
        <f>COUNTIF($B$1:B37, "&gt;0")+1001</f>
        <v>1037</v>
      </c>
      <c r="C38" s="21">
        <v>208</v>
      </c>
      <c r="D38" s="21">
        <v>14</v>
      </c>
      <c r="E38" s="21">
        <v>14</v>
      </c>
      <c r="F38" s="21">
        <v>11</v>
      </c>
      <c r="G38" s="20">
        <f t="shared" si="1"/>
        <v>4.0767999999999999E-2</v>
      </c>
    </row>
    <row r="39" spans="1:7" x14ac:dyDescent="0.5">
      <c r="A39" s="8">
        <v>38</v>
      </c>
      <c r="B39" s="9">
        <f>COUNTIF($B$1:B38, "&gt;0")+1001</f>
        <v>1038</v>
      </c>
      <c r="C39" s="21">
        <v>208</v>
      </c>
      <c r="D39" s="21">
        <v>14</v>
      </c>
      <c r="E39" s="21">
        <v>14</v>
      </c>
      <c r="F39" s="21">
        <v>11</v>
      </c>
      <c r="G39" s="20">
        <f t="shared" si="1"/>
        <v>4.0767999999999999E-2</v>
      </c>
    </row>
    <row r="40" spans="1:7" x14ac:dyDescent="0.5">
      <c r="A40" s="8">
        <v>39</v>
      </c>
      <c r="B40" s="9">
        <f>COUNTIF($B$1:B39, "&gt;0")+1001</f>
        <v>1039</v>
      </c>
      <c r="C40" s="17">
        <v>120</v>
      </c>
      <c r="D40" s="17">
        <v>90</v>
      </c>
      <c r="E40" s="17">
        <v>55</v>
      </c>
      <c r="F40" s="21">
        <v>109</v>
      </c>
      <c r="G40" s="20">
        <f t="shared" si="1"/>
        <v>0.59399999999999997</v>
      </c>
    </row>
    <row r="41" spans="1:7" x14ac:dyDescent="0.5">
      <c r="A41" s="8">
        <v>40</v>
      </c>
      <c r="B41" s="9">
        <f>COUNTIF($B$1:B40, "&gt;0")+1001</f>
        <v>1040</v>
      </c>
      <c r="C41" s="17">
        <v>120</v>
      </c>
      <c r="D41" s="17">
        <v>90</v>
      </c>
      <c r="E41" s="17">
        <v>55</v>
      </c>
      <c r="F41" s="21">
        <v>109</v>
      </c>
      <c r="G41" s="20">
        <f t="shared" si="1"/>
        <v>0.59399999999999997</v>
      </c>
    </row>
    <row r="42" spans="1:7" x14ac:dyDescent="0.5">
      <c r="A42" s="8">
        <v>41</v>
      </c>
      <c r="B42" s="9">
        <f>COUNTIF($B$1:B41, "&gt;0")+1001</f>
        <v>1041</v>
      </c>
      <c r="C42" s="17">
        <v>120</v>
      </c>
      <c r="D42" s="17">
        <v>90</v>
      </c>
      <c r="E42" s="17">
        <v>55</v>
      </c>
      <c r="F42" s="21">
        <v>109</v>
      </c>
      <c r="G42" s="20">
        <f t="shared" si="1"/>
        <v>0.59399999999999997</v>
      </c>
    </row>
    <row r="43" spans="1:7" x14ac:dyDescent="0.5">
      <c r="A43" s="8">
        <v>42</v>
      </c>
      <c r="B43" s="9">
        <f>COUNTIF($B$1:B42, "&gt;0")+1001</f>
        <v>1042</v>
      </c>
      <c r="C43" s="21">
        <v>115</v>
      </c>
      <c r="D43" s="21">
        <v>63</v>
      </c>
      <c r="E43" s="21">
        <v>52</v>
      </c>
      <c r="F43" s="27">
        <v>41</v>
      </c>
      <c r="G43" s="20">
        <f t="shared" si="1"/>
        <v>0.37674000000000002</v>
      </c>
    </row>
    <row r="44" spans="1:7" x14ac:dyDescent="0.5">
      <c r="A44" s="8">
        <v>43</v>
      </c>
      <c r="B44" s="9">
        <f>COUNTIF($B$1:B43, "&gt;0")+1001</f>
        <v>1043</v>
      </c>
      <c r="C44" s="21">
        <v>115</v>
      </c>
      <c r="D44" s="21">
        <v>63</v>
      </c>
      <c r="E44" s="21">
        <v>52</v>
      </c>
      <c r="F44" s="27">
        <v>41</v>
      </c>
      <c r="G44" s="20">
        <f t="shared" si="1"/>
        <v>0.37674000000000002</v>
      </c>
    </row>
    <row r="45" spans="1:7" x14ac:dyDescent="0.5">
      <c r="A45" s="8">
        <v>44</v>
      </c>
      <c r="B45" s="9">
        <f>COUNTIF($B$1:B44, "&gt;0")+1001</f>
        <v>1044</v>
      </c>
      <c r="C45" s="21">
        <v>115</v>
      </c>
      <c r="D45" s="21">
        <v>63</v>
      </c>
      <c r="E45" s="21">
        <v>52</v>
      </c>
      <c r="F45" s="27">
        <v>41</v>
      </c>
      <c r="G45" s="20">
        <f t="shared" si="1"/>
        <v>0.37674000000000002</v>
      </c>
    </row>
    <row r="46" spans="1:7" x14ac:dyDescent="0.5">
      <c r="A46" s="8">
        <v>45</v>
      </c>
      <c r="B46" s="9">
        <f>COUNTIF($B$1:B45, "&gt;0")+1001</f>
        <v>1045</v>
      </c>
      <c r="C46" s="21">
        <v>115</v>
      </c>
      <c r="D46" s="21">
        <v>63</v>
      </c>
      <c r="E46" s="21">
        <v>52</v>
      </c>
      <c r="F46" s="27">
        <v>41</v>
      </c>
      <c r="G46" s="20">
        <f t="shared" si="1"/>
        <v>0.37674000000000002</v>
      </c>
    </row>
    <row r="47" spans="1:7" x14ac:dyDescent="0.5">
      <c r="A47" s="8">
        <v>46</v>
      </c>
      <c r="B47" s="9">
        <f>COUNTIF($B$1:B46, "&gt;0")+1001</f>
        <v>1046</v>
      </c>
      <c r="C47" s="21">
        <v>115</v>
      </c>
      <c r="D47" s="21">
        <v>63</v>
      </c>
      <c r="E47" s="21">
        <v>52</v>
      </c>
      <c r="F47" s="27">
        <v>41</v>
      </c>
      <c r="G47" s="20">
        <f t="shared" si="1"/>
        <v>0.37674000000000002</v>
      </c>
    </row>
    <row r="48" spans="1:7" x14ac:dyDescent="0.5">
      <c r="A48" s="8">
        <v>47</v>
      </c>
      <c r="B48" s="9">
        <f>COUNTIF($B$1:B47, "&gt;0")+1001</f>
        <v>1047</v>
      </c>
      <c r="C48" s="21">
        <v>115</v>
      </c>
      <c r="D48" s="21">
        <v>63</v>
      </c>
      <c r="E48" s="21">
        <v>52</v>
      </c>
      <c r="F48" s="27">
        <v>41</v>
      </c>
      <c r="G48" s="20">
        <f t="shared" si="1"/>
        <v>0.37674000000000002</v>
      </c>
    </row>
    <row r="49" spans="1:7" x14ac:dyDescent="0.5">
      <c r="A49" s="8">
        <v>48</v>
      </c>
      <c r="B49" s="9">
        <f>COUNTIF($B$1:B48, "&gt;0")+1001</f>
        <v>1048</v>
      </c>
      <c r="C49" s="21">
        <v>115</v>
      </c>
      <c r="D49" s="21">
        <v>63</v>
      </c>
      <c r="E49" s="21">
        <v>52</v>
      </c>
      <c r="F49" s="27">
        <v>41</v>
      </c>
      <c r="G49" s="20">
        <f t="shared" si="1"/>
        <v>0.37674000000000002</v>
      </c>
    </row>
    <row r="50" spans="1:7" x14ac:dyDescent="0.5">
      <c r="A50" s="8">
        <v>49</v>
      </c>
      <c r="B50" s="9">
        <f>COUNTIF($B$1:B49, "&gt;0")+1001</f>
        <v>1049</v>
      </c>
      <c r="C50" s="21">
        <v>115</v>
      </c>
      <c r="D50" s="21">
        <v>63</v>
      </c>
      <c r="E50" s="21">
        <v>52</v>
      </c>
      <c r="F50" s="27">
        <v>41</v>
      </c>
      <c r="G50" s="20">
        <f t="shared" si="1"/>
        <v>0.37674000000000002</v>
      </c>
    </row>
    <row r="51" spans="1:7" x14ac:dyDescent="0.5">
      <c r="A51" s="8">
        <v>50</v>
      </c>
      <c r="B51" s="9">
        <f>COUNTIF($B$1:B50, "&gt;0")+1001</f>
        <v>1050</v>
      </c>
      <c r="C51" s="23">
        <v>196</v>
      </c>
      <c r="D51" s="23">
        <v>61</v>
      </c>
      <c r="E51" s="23">
        <v>103</v>
      </c>
      <c r="F51" s="24">
        <v>150</v>
      </c>
      <c r="G51" s="20">
        <f t="shared" si="1"/>
        <v>1.231468</v>
      </c>
    </row>
    <row r="52" spans="1:7" x14ac:dyDescent="0.5">
      <c r="A52" s="8">
        <v>51</v>
      </c>
      <c r="B52" s="9">
        <f>COUNTIF($B$1:B51, "&gt;0")+1001</f>
        <v>1051</v>
      </c>
      <c r="C52" s="28">
        <v>82</v>
      </c>
      <c r="D52" s="28">
        <v>59</v>
      </c>
      <c r="E52" s="28">
        <v>43</v>
      </c>
      <c r="F52" s="29">
        <v>45</v>
      </c>
      <c r="G52" s="30">
        <f t="shared" si="1"/>
        <v>0.208034</v>
      </c>
    </row>
    <row r="53" spans="1:7" x14ac:dyDescent="0.5">
      <c r="A53" s="8">
        <v>52</v>
      </c>
      <c r="B53" s="9">
        <f>COUNTIF($B$1:B52, "&gt;0")+1001</f>
        <v>1052</v>
      </c>
      <c r="C53" s="28">
        <v>82</v>
      </c>
      <c r="D53" s="28">
        <v>59</v>
      </c>
      <c r="E53" s="28">
        <v>43</v>
      </c>
      <c r="F53" s="29">
        <v>36</v>
      </c>
      <c r="G53" s="30">
        <f t="shared" si="1"/>
        <v>0.208034</v>
      </c>
    </row>
    <row r="54" spans="1:7" x14ac:dyDescent="0.5">
      <c r="A54" s="8">
        <v>53</v>
      </c>
      <c r="B54" s="9">
        <f>COUNTIF($B$1:B53, "&gt;0")+1001</f>
        <v>1053</v>
      </c>
      <c r="C54" s="17">
        <v>37</v>
      </c>
      <c r="D54" s="17">
        <v>32</v>
      </c>
      <c r="E54" s="17">
        <v>20</v>
      </c>
      <c r="F54" s="31">
        <v>4</v>
      </c>
      <c r="G54" s="20">
        <f t="shared" si="1"/>
        <v>2.368E-2</v>
      </c>
    </row>
    <row r="55" spans="1:7" x14ac:dyDescent="0.5">
      <c r="A55" s="8">
        <v>54</v>
      </c>
      <c r="B55" s="9">
        <f>COUNTIF($B$1:B54, "&gt;0")+1001</f>
        <v>1054</v>
      </c>
      <c r="C55" s="32">
        <v>190</v>
      </c>
      <c r="D55" s="32">
        <v>65</v>
      </c>
      <c r="E55" s="32">
        <v>125</v>
      </c>
      <c r="F55" s="32">
        <v>200</v>
      </c>
      <c r="G55" s="20">
        <v>1.54375</v>
      </c>
    </row>
    <row r="56" spans="1:7" x14ac:dyDescent="0.5">
      <c r="A56" s="8">
        <v>55</v>
      </c>
      <c r="B56" s="9">
        <f>COUNTIF($B$1:B55, "&gt;0")+1001</f>
        <v>1055</v>
      </c>
      <c r="C56" s="32">
        <v>69</v>
      </c>
      <c r="D56" s="32">
        <v>110</v>
      </c>
      <c r="E56" s="32">
        <v>180</v>
      </c>
      <c r="F56" s="32">
        <v>213</v>
      </c>
      <c r="G56" s="20">
        <v>1.3662000000000001</v>
      </c>
    </row>
    <row r="57" spans="1:7" x14ac:dyDescent="0.5">
      <c r="A57" s="8">
        <v>56</v>
      </c>
      <c r="B57" s="9">
        <f>COUNTIF($B$1:B56, "&gt;0")+1001</f>
        <v>1056</v>
      </c>
      <c r="C57" s="33">
        <v>87</v>
      </c>
      <c r="D57" s="33">
        <v>56</v>
      </c>
      <c r="E57" s="33">
        <v>61</v>
      </c>
      <c r="F57" s="34">
        <v>65</v>
      </c>
      <c r="G57" s="33">
        <v>0.31785600000000003</v>
      </c>
    </row>
    <row r="58" spans="1:7" x14ac:dyDescent="0.5">
      <c r="A58" s="8">
        <v>57</v>
      </c>
      <c r="B58" s="9">
        <f>COUNTIF($B$1:B57, "&gt;0")+1001</f>
        <v>1057</v>
      </c>
      <c r="C58" s="21">
        <v>69</v>
      </c>
      <c r="D58" s="21">
        <v>59</v>
      </c>
      <c r="E58" s="21">
        <v>30</v>
      </c>
      <c r="F58" s="21">
        <v>32</v>
      </c>
      <c r="G58" s="20">
        <f t="shared" ref="G58:G121" si="2">PRODUCT(C58:E58)/1000000</f>
        <v>0.12213</v>
      </c>
    </row>
    <row r="59" spans="1:7" x14ac:dyDescent="0.5">
      <c r="A59" s="8">
        <v>58</v>
      </c>
      <c r="B59" s="9">
        <f>COUNTIF($B$1:B58, "&gt;0")+1001</f>
        <v>1058</v>
      </c>
      <c r="C59" s="35">
        <v>59</v>
      </c>
      <c r="D59" s="35">
        <v>81</v>
      </c>
      <c r="E59" s="35">
        <v>42</v>
      </c>
      <c r="F59" s="36">
        <v>35</v>
      </c>
      <c r="G59" s="16">
        <f t="shared" si="2"/>
        <v>0.20071800000000001</v>
      </c>
    </row>
    <row r="60" spans="1:7" x14ac:dyDescent="0.5">
      <c r="A60" s="8">
        <v>59</v>
      </c>
      <c r="B60" s="9">
        <f>COUNTIF($B$1:B59, "&gt;0")+1001</f>
        <v>1059</v>
      </c>
      <c r="C60" s="32">
        <v>46</v>
      </c>
      <c r="D60" s="32">
        <v>29</v>
      </c>
      <c r="E60" s="32">
        <v>37</v>
      </c>
      <c r="F60" s="32">
        <v>11</v>
      </c>
      <c r="G60" s="20">
        <f t="shared" si="2"/>
        <v>4.9357999999999999E-2</v>
      </c>
    </row>
    <row r="61" spans="1:7" x14ac:dyDescent="0.5">
      <c r="A61" s="8">
        <v>60</v>
      </c>
      <c r="B61" s="9">
        <f>COUNTIF($B$1:B60, "&gt;0")+1001</f>
        <v>1060</v>
      </c>
      <c r="C61" s="32">
        <v>46</v>
      </c>
      <c r="D61" s="32">
        <v>29</v>
      </c>
      <c r="E61" s="32">
        <v>37</v>
      </c>
      <c r="F61" s="32">
        <v>11</v>
      </c>
      <c r="G61" s="20">
        <f t="shared" si="2"/>
        <v>4.9357999999999999E-2</v>
      </c>
    </row>
    <row r="62" spans="1:7" x14ac:dyDescent="0.5">
      <c r="A62" s="8">
        <v>61</v>
      </c>
      <c r="B62" s="9">
        <f>COUNTIF($B$1:B61, "&gt;0")+1001</f>
        <v>1061</v>
      </c>
      <c r="C62" s="32">
        <v>46</v>
      </c>
      <c r="D62" s="32">
        <v>29</v>
      </c>
      <c r="E62" s="32">
        <v>37</v>
      </c>
      <c r="F62" s="32">
        <v>11</v>
      </c>
      <c r="G62" s="20">
        <f t="shared" si="2"/>
        <v>4.9357999999999999E-2</v>
      </c>
    </row>
    <row r="63" spans="1:7" x14ac:dyDescent="0.5">
      <c r="A63" s="8">
        <v>62</v>
      </c>
      <c r="B63" s="9">
        <f>COUNTIF($B$1:B62, "&gt;0")+1001</f>
        <v>1062</v>
      </c>
      <c r="C63" s="21">
        <v>40</v>
      </c>
      <c r="D63" s="21">
        <v>28</v>
      </c>
      <c r="E63" s="21">
        <v>40</v>
      </c>
      <c r="F63" s="27">
        <v>16</v>
      </c>
      <c r="G63" s="20">
        <f t="shared" si="2"/>
        <v>4.48E-2</v>
      </c>
    </row>
    <row r="64" spans="1:7" x14ac:dyDescent="0.5">
      <c r="A64" s="8">
        <v>63</v>
      </c>
      <c r="B64" s="9">
        <f>COUNTIF($B$1:B63, "&gt;0")+1001</f>
        <v>1063</v>
      </c>
      <c r="C64" s="21">
        <v>41</v>
      </c>
      <c r="D64" s="21">
        <v>22</v>
      </c>
      <c r="E64" s="21">
        <v>28</v>
      </c>
      <c r="F64" s="27">
        <v>10</v>
      </c>
      <c r="G64" s="20">
        <f t="shared" si="2"/>
        <v>2.5256000000000001E-2</v>
      </c>
    </row>
    <row r="65" spans="1:7" x14ac:dyDescent="0.5">
      <c r="A65" s="8">
        <v>64</v>
      </c>
      <c r="B65" s="9">
        <f>COUNTIF($B$1:B64, "&gt;0")+1001</f>
        <v>1064</v>
      </c>
      <c r="C65" s="32">
        <v>52</v>
      </c>
      <c r="D65" s="32">
        <v>25</v>
      </c>
      <c r="E65" s="32">
        <v>32</v>
      </c>
      <c r="F65" s="32">
        <v>15</v>
      </c>
      <c r="G65" s="20">
        <f t="shared" si="2"/>
        <v>4.1599999999999998E-2</v>
      </c>
    </row>
    <row r="66" spans="1:7" x14ac:dyDescent="0.5">
      <c r="A66" s="8">
        <v>65</v>
      </c>
      <c r="B66" s="9">
        <f>COUNTIF($B$1:B65, "&gt;0")+1001</f>
        <v>1065</v>
      </c>
      <c r="C66" s="21">
        <v>27</v>
      </c>
      <c r="D66" s="21">
        <v>27</v>
      </c>
      <c r="E66" s="21">
        <v>16</v>
      </c>
      <c r="F66" s="21">
        <v>12</v>
      </c>
      <c r="G66" s="20">
        <f t="shared" si="2"/>
        <v>1.1664000000000001E-2</v>
      </c>
    </row>
    <row r="67" spans="1:7" x14ac:dyDescent="0.5">
      <c r="A67" s="8">
        <v>66</v>
      </c>
      <c r="B67" s="9">
        <f>COUNTIF($B$1:B66, "&gt;0")+1001</f>
        <v>1066</v>
      </c>
      <c r="C67" s="21">
        <v>27</v>
      </c>
      <c r="D67" s="21">
        <v>27</v>
      </c>
      <c r="E67" s="21">
        <v>16</v>
      </c>
      <c r="F67" s="21">
        <v>12</v>
      </c>
      <c r="G67" s="20">
        <f t="shared" si="2"/>
        <v>1.1664000000000001E-2</v>
      </c>
    </row>
    <row r="68" spans="1:7" x14ac:dyDescent="0.5">
      <c r="A68" s="8">
        <v>67</v>
      </c>
      <c r="B68" s="9">
        <f>COUNTIF($B$1:B67, "&gt;0")+1001</f>
        <v>1067</v>
      </c>
      <c r="C68" s="21">
        <v>27</v>
      </c>
      <c r="D68" s="21">
        <v>27</v>
      </c>
      <c r="E68" s="21">
        <v>16</v>
      </c>
      <c r="F68" s="21">
        <v>12</v>
      </c>
      <c r="G68" s="20">
        <f t="shared" si="2"/>
        <v>1.1664000000000001E-2</v>
      </c>
    </row>
    <row r="69" spans="1:7" x14ac:dyDescent="0.5">
      <c r="A69" s="8">
        <v>68</v>
      </c>
      <c r="B69" s="9">
        <f>COUNTIF($B$1:B68, "&gt;0")+1001</f>
        <v>1068</v>
      </c>
      <c r="C69" s="32">
        <v>52</v>
      </c>
      <c r="D69" s="32">
        <v>43</v>
      </c>
      <c r="E69" s="32">
        <v>28</v>
      </c>
      <c r="F69" s="32">
        <v>23</v>
      </c>
      <c r="G69" s="20">
        <f t="shared" si="2"/>
        <v>6.2607999999999997E-2</v>
      </c>
    </row>
    <row r="70" spans="1:7" x14ac:dyDescent="0.5">
      <c r="A70" s="8">
        <v>69</v>
      </c>
      <c r="B70" s="9">
        <f>COUNTIF($B$1:B69, "&gt;0")+1001</f>
        <v>1069</v>
      </c>
      <c r="C70" s="33">
        <v>122</v>
      </c>
      <c r="D70" s="33">
        <v>80</v>
      </c>
      <c r="E70" s="33">
        <v>92</v>
      </c>
      <c r="F70" s="34">
        <v>100</v>
      </c>
      <c r="G70" s="20">
        <f t="shared" si="2"/>
        <v>0.89792000000000005</v>
      </c>
    </row>
    <row r="71" spans="1:7" x14ac:dyDescent="0.5">
      <c r="A71" s="8">
        <v>70</v>
      </c>
      <c r="B71" s="9">
        <f>COUNTIF($B$1:B70, "&gt;0")+1001</f>
        <v>1070</v>
      </c>
      <c r="C71" s="33">
        <v>122</v>
      </c>
      <c r="D71" s="33">
        <v>80</v>
      </c>
      <c r="E71" s="33">
        <v>92</v>
      </c>
      <c r="F71" s="34">
        <v>100</v>
      </c>
      <c r="G71" s="20">
        <f t="shared" si="2"/>
        <v>0.89792000000000005</v>
      </c>
    </row>
    <row r="72" spans="1:7" x14ac:dyDescent="0.5">
      <c r="A72" s="8">
        <v>71</v>
      </c>
      <c r="B72" s="9">
        <f>COUNTIF($B$1:B71, "&gt;0")+1001</f>
        <v>1071</v>
      </c>
      <c r="C72" s="37">
        <v>58</v>
      </c>
      <c r="D72" s="37">
        <v>53</v>
      </c>
      <c r="E72" s="37">
        <v>15</v>
      </c>
      <c r="F72" s="37">
        <v>16</v>
      </c>
      <c r="G72" s="20">
        <f t="shared" si="2"/>
        <v>4.6109999999999998E-2</v>
      </c>
    </row>
    <row r="73" spans="1:7" x14ac:dyDescent="0.5">
      <c r="A73" s="8">
        <v>72</v>
      </c>
      <c r="B73" s="9">
        <f>COUNTIF($B$1:B72, "&gt;0")+1001</f>
        <v>1072</v>
      </c>
      <c r="C73" s="37">
        <v>58</v>
      </c>
      <c r="D73" s="37">
        <v>53</v>
      </c>
      <c r="E73" s="37">
        <v>15</v>
      </c>
      <c r="F73" s="37">
        <v>28</v>
      </c>
      <c r="G73" s="20">
        <f t="shared" si="2"/>
        <v>4.6109999999999998E-2</v>
      </c>
    </row>
    <row r="74" spans="1:7" x14ac:dyDescent="0.5">
      <c r="A74" s="8">
        <v>73</v>
      </c>
      <c r="B74" s="9">
        <f>COUNTIF($B$1:B73, "&gt;0")+1001</f>
        <v>1073</v>
      </c>
      <c r="C74" s="33">
        <v>170</v>
      </c>
      <c r="D74" s="33">
        <v>109</v>
      </c>
      <c r="E74" s="33">
        <v>67</v>
      </c>
      <c r="F74" s="33">
        <v>203</v>
      </c>
      <c r="G74" s="20">
        <f t="shared" si="2"/>
        <v>1.2415099999999999</v>
      </c>
    </row>
    <row r="75" spans="1:7" x14ac:dyDescent="0.5">
      <c r="A75" s="8">
        <v>74</v>
      </c>
      <c r="B75" s="9">
        <f>COUNTIF($B$1:B74, "&gt;0")+1001</f>
        <v>1074</v>
      </c>
      <c r="C75" s="21">
        <v>54</v>
      </c>
      <c r="D75" s="21">
        <v>50</v>
      </c>
      <c r="E75" s="21">
        <v>32</v>
      </c>
      <c r="F75" s="27">
        <v>22</v>
      </c>
      <c r="G75" s="20">
        <f t="shared" si="2"/>
        <v>8.6400000000000005E-2</v>
      </c>
    </row>
    <row r="76" spans="1:7" x14ac:dyDescent="0.5">
      <c r="A76" s="8">
        <v>75</v>
      </c>
      <c r="B76" s="9">
        <f>COUNTIF($B$1:B75, "&gt;0")+1001</f>
        <v>1075</v>
      </c>
      <c r="C76" s="38">
        <v>54</v>
      </c>
      <c r="D76" s="38">
        <v>40</v>
      </c>
      <c r="E76" s="38">
        <v>15</v>
      </c>
      <c r="F76" s="38">
        <v>10</v>
      </c>
      <c r="G76" s="20">
        <f t="shared" si="2"/>
        <v>3.2399999999999998E-2</v>
      </c>
    </row>
    <row r="77" spans="1:7" x14ac:dyDescent="0.5">
      <c r="A77" s="8">
        <v>76</v>
      </c>
      <c r="B77" s="9">
        <f>COUNTIF($B$1:B76, "&gt;0")+1001</f>
        <v>1076</v>
      </c>
      <c r="C77" s="39">
        <v>62</v>
      </c>
      <c r="D77" s="39">
        <v>54</v>
      </c>
      <c r="E77" s="39">
        <v>34</v>
      </c>
      <c r="F77" s="27">
        <v>39</v>
      </c>
      <c r="G77" s="20">
        <f t="shared" si="2"/>
        <v>0.113832</v>
      </c>
    </row>
    <row r="78" spans="1:7" x14ac:dyDescent="0.5">
      <c r="A78" s="8">
        <v>77</v>
      </c>
      <c r="B78" s="9">
        <f>COUNTIF($B$1:B77, "&gt;0")+1001</f>
        <v>1077</v>
      </c>
      <c r="C78" s="39">
        <v>62</v>
      </c>
      <c r="D78" s="39">
        <v>54</v>
      </c>
      <c r="E78" s="39">
        <v>34</v>
      </c>
      <c r="F78" s="27">
        <v>39</v>
      </c>
      <c r="G78" s="20">
        <f t="shared" si="2"/>
        <v>0.113832</v>
      </c>
    </row>
    <row r="79" spans="1:7" x14ac:dyDescent="0.5">
      <c r="A79" s="8">
        <v>78</v>
      </c>
      <c r="B79" s="9">
        <f>COUNTIF($B$1:B78, "&gt;0")+1001</f>
        <v>1078</v>
      </c>
      <c r="C79" s="39">
        <v>62</v>
      </c>
      <c r="D79" s="39">
        <v>54</v>
      </c>
      <c r="E79" s="39">
        <v>34</v>
      </c>
      <c r="F79" s="27">
        <v>39</v>
      </c>
      <c r="G79" s="20">
        <f t="shared" si="2"/>
        <v>0.113832</v>
      </c>
    </row>
    <row r="80" spans="1:7" x14ac:dyDescent="0.5">
      <c r="A80" s="8">
        <v>79</v>
      </c>
      <c r="B80" s="9">
        <f>COUNTIF($B$1:B79, "&gt;0")+1001</f>
        <v>1079</v>
      </c>
      <c r="C80" s="39">
        <v>62</v>
      </c>
      <c r="D80" s="39">
        <v>54</v>
      </c>
      <c r="E80" s="39">
        <v>34</v>
      </c>
      <c r="F80" s="27">
        <v>39</v>
      </c>
      <c r="G80" s="20">
        <f t="shared" si="2"/>
        <v>0.113832</v>
      </c>
    </row>
    <row r="81" spans="1:7" x14ac:dyDescent="0.5">
      <c r="A81" s="8">
        <v>80</v>
      </c>
      <c r="B81" s="9">
        <f>COUNTIF($B$1:B80, "&gt;0")+1001</f>
        <v>1080</v>
      </c>
      <c r="C81" s="39">
        <v>62</v>
      </c>
      <c r="D81" s="39">
        <v>54</v>
      </c>
      <c r="E81" s="39">
        <v>34</v>
      </c>
      <c r="F81" s="27">
        <v>39</v>
      </c>
      <c r="G81" s="20">
        <f t="shared" si="2"/>
        <v>0.113832</v>
      </c>
    </row>
    <row r="82" spans="1:7" x14ac:dyDescent="0.5">
      <c r="A82" s="8">
        <v>81</v>
      </c>
      <c r="B82" s="9">
        <f>COUNTIF($B$1:B81, "&gt;0")+1001</f>
        <v>1081</v>
      </c>
      <c r="C82" s="21">
        <v>54</v>
      </c>
      <c r="D82" s="21">
        <v>44</v>
      </c>
      <c r="E82" s="21">
        <v>34</v>
      </c>
      <c r="F82" s="27">
        <v>17</v>
      </c>
      <c r="G82" s="20">
        <f t="shared" si="2"/>
        <v>8.0783999999999995E-2</v>
      </c>
    </row>
    <row r="83" spans="1:7" x14ac:dyDescent="0.5">
      <c r="A83" s="8">
        <v>82</v>
      </c>
      <c r="B83" s="9">
        <f>COUNTIF($B$1:B82, "&gt;0")+1001</f>
        <v>1082</v>
      </c>
      <c r="C83" s="21">
        <v>54</v>
      </c>
      <c r="D83" s="21">
        <v>44</v>
      </c>
      <c r="E83" s="21">
        <v>34</v>
      </c>
      <c r="F83" s="27">
        <v>17</v>
      </c>
      <c r="G83" s="20">
        <f t="shared" si="2"/>
        <v>8.0783999999999995E-2</v>
      </c>
    </row>
    <row r="84" spans="1:7" x14ac:dyDescent="0.5">
      <c r="A84" s="8">
        <v>83</v>
      </c>
      <c r="B84" s="9">
        <f>COUNTIF($B$1:B83, "&gt;0")+1001</f>
        <v>1083</v>
      </c>
      <c r="C84" s="32">
        <v>80</v>
      </c>
      <c r="D84" s="32">
        <v>70</v>
      </c>
      <c r="E84" s="32">
        <v>80</v>
      </c>
      <c r="F84" s="32">
        <v>52</v>
      </c>
      <c r="G84" s="20">
        <f t="shared" si="2"/>
        <v>0.44800000000000001</v>
      </c>
    </row>
    <row r="85" spans="1:7" x14ac:dyDescent="0.5">
      <c r="A85" s="8">
        <v>84</v>
      </c>
      <c r="B85" s="9">
        <f>COUNTIF($B$1:B84, "&gt;0")+1001</f>
        <v>1084</v>
      </c>
      <c r="C85" s="17">
        <v>7</v>
      </c>
      <c r="D85" s="17">
        <v>150</v>
      </c>
      <c r="E85" s="17">
        <v>7</v>
      </c>
      <c r="F85" s="17">
        <v>4</v>
      </c>
      <c r="G85" s="20">
        <f t="shared" si="2"/>
        <v>7.3499999999999998E-3</v>
      </c>
    </row>
    <row r="86" spans="1:7" x14ac:dyDescent="0.5">
      <c r="A86" s="8">
        <v>85</v>
      </c>
      <c r="B86" s="9">
        <f>COUNTIF($B$1:B85, "&gt;0")+1001</f>
        <v>1085</v>
      </c>
      <c r="C86" s="17">
        <v>7</v>
      </c>
      <c r="D86" s="17">
        <v>150</v>
      </c>
      <c r="E86" s="17">
        <v>7</v>
      </c>
      <c r="F86" s="17">
        <v>4</v>
      </c>
      <c r="G86" s="20">
        <f t="shared" si="2"/>
        <v>7.3499999999999998E-3</v>
      </c>
    </row>
    <row r="87" spans="1:7" x14ac:dyDescent="0.5">
      <c r="A87" s="8">
        <v>86</v>
      </c>
      <c r="B87" s="9">
        <f>COUNTIF($B$1:B86, "&gt;0")+1001</f>
        <v>1086</v>
      </c>
      <c r="C87" s="17">
        <v>7</v>
      </c>
      <c r="D87" s="17">
        <v>150</v>
      </c>
      <c r="E87" s="17">
        <v>7</v>
      </c>
      <c r="F87" s="17">
        <v>4</v>
      </c>
      <c r="G87" s="20">
        <f t="shared" si="2"/>
        <v>7.3499999999999998E-3</v>
      </c>
    </row>
    <row r="88" spans="1:7" x14ac:dyDescent="0.5">
      <c r="A88" s="8">
        <v>87</v>
      </c>
      <c r="B88" s="9">
        <f>COUNTIF($B$1:B87, "&gt;0")+1001</f>
        <v>1087</v>
      </c>
      <c r="C88" s="33">
        <v>122</v>
      </c>
      <c r="D88" s="33">
        <v>80</v>
      </c>
      <c r="E88" s="33">
        <v>92</v>
      </c>
      <c r="F88" s="34">
        <v>125</v>
      </c>
      <c r="G88" s="20">
        <f t="shared" si="2"/>
        <v>0.89792000000000005</v>
      </c>
    </row>
    <row r="89" spans="1:7" x14ac:dyDescent="0.5">
      <c r="A89" s="8">
        <v>88</v>
      </c>
      <c r="B89" s="9">
        <f>COUNTIF($B$1:B88, "&gt;0")+1001</f>
        <v>1088</v>
      </c>
      <c r="C89" s="21">
        <v>54</v>
      </c>
      <c r="D89" s="21">
        <v>44</v>
      </c>
      <c r="E89" s="21">
        <v>34</v>
      </c>
      <c r="F89" s="27">
        <v>50</v>
      </c>
      <c r="G89" s="20">
        <f t="shared" si="2"/>
        <v>8.0783999999999995E-2</v>
      </c>
    </row>
    <row r="90" spans="1:7" x14ac:dyDescent="0.5">
      <c r="A90" s="8">
        <v>89</v>
      </c>
      <c r="B90" s="9">
        <f>COUNTIF($B$1:B89, "&gt;0")+1001</f>
        <v>1089</v>
      </c>
      <c r="C90" s="40">
        <v>15</v>
      </c>
      <c r="D90" s="40">
        <v>37</v>
      </c>
      <c r="E90" s="40">
        <v>18</v>
      </c>
      <c r="F90" s="40">
        <v>2</v>
      </c>
      <c r="G90" s="20">
        <f t="shared" si="2"/>
        <v>9.9900000000000006E-3</v>
      </c>
    </row>
    <row r="91" spans="1:7" x14ac:dyDescent="0.5">
      <c r="A91" s="8">
        <v>90</v>
      </c>
      <c r="B91" s="9">
        <f>COUNTIF($B$1:B90, "&gt;0")+1001</f>
        <v>1090</v>
      </c>
      <c r="C91" s="21">
        <v>120</v>
      </c>
      <c r="D91" s="21">
        <v>80</v>
      </c>
      <c r="E91" s="21">
        <v>110</v>
      </c>
      <c r="F91" s="41">
        <v>160</v>
      </c>
      <c r="G91" s="20">
        <f t="shared" si="2"/>
        <v>1.056</v>
      </c>
    </row>
    <row r="92" spans="1:7" x14ac:dyDescent="0.5">
      <c r="A92" s="8">
        <v>91</v>
      </c>
      <c r="B92" s="9">
        <f>COUNTIF($B$1:B91, "&gt;0")+1001</f>
        <v>1091</v>
      </c>
      <c r="C92" s="21">
        <v>56</v>
      </c>
      <c r="D92" s="21">
        <v>19</v>
      </c>
      <c r="E92" s="21">
        <v>80</v>
      </c>
      <c r="F92" s="21">
        <v>17</v>
      </c>
      <c r="G92" s="20">
        <f t="shared" si="2"/>
        <v>8.5120000000000001E-2</v>
      </c>
    </row>
    <row r="93" spans="1:7" x14ac:dyDescent="0.5">
      <c r="A93" s="8">
        <v>92</v>
      </c>
      <c r="B93" s="9">
        <f>COUNTIF($B$1:B92, "&gt;0")+1001</f>
        <v>1092</v>
      </c>
      <c r="C93" s="21">
        <v>56</v>
      </c>
      <c r="D93" s="21">
        <v>19</v>
      </c>
      <c r="E93" s="21">
        <v>80</v>
      </c>
      <c r="F93" s="21">
        <v>17</v>
      </c>
      <c r="G93" s="20">
        <f t="shared" si="2"/>
        <v>8.5120000000000001E-2</v>
      </c>
    </row>
    <row r="94" spans="1:7" x14ac:dyDescent="0.5">
      <c r="A94" s="8">
        <v>93</v>
      </c>
      <c r="B94" s="9">
        <f>COUNTIF($B$1:B93, "&gt;0")+1001</f>
        <v>1093</v>
      </c>
      <c r="C94" s="17">
        <v>114</v>
      </c>
      <c r="D94" s="17">
        <v>70</v>
      </c>
      <c r="E94" s="17">
        <v>60</v>
      </c>
      <c r="F94" s="17">
        <v>53</v>
      </c>
      <c r="G94" s="20">
        <f t="shared" si="2"/>
        <v>0.4788</v>
      </c>
    </row>
    <row r="95" spans="1:7" x14ac:dyDescent="0.5">
      <c r="A95" s="8">
        <v>94</v>
      </c>
      <c r="B95" s="9">
        <f>COUNTIF($B$1:B94, "&gt;0")+1001</f>
        <v>1094</v>
      </c>
      <c r="C95" s="42">
        <v>56</v>
      </c>
      <c r="D95" s="42">
        <v>19</v>
      </c>
      <c r="E95" s="42">
        <v>80</v>
      </c>
      <c r="F95" s="42">
        <v>20</v>
      </c>
      <c r="G95" s="20">
        <f t="shared" si="2"/>
        <v>8.5120000000000001E-2</v>
      </c>
    </row>
    <row r="96" spans="1:7" x14ac:dyDescent="0.5">
      <c r="A96" s="8">
        <v>95</v>
      </c>
      <c r="B96" s="9">
        <f>COUNTIF($B$1:B95, "&gt;0")+1001</f>
        <v>1095</v>
      </c>
      <c r="C96" s="14">
        <v>100</v>
      </c>
      <c r="D96" s="14">
        <v>120</v>
      </c>
      <c r="E96" s="14">
        <v>50</v>
      </c>
      <c r="F96" s="15">
        <v>62</v>
      </c>
      <c r="G96" s="20">
        <f t="shared" si="2"/>
        <v>0.6</v>
      </c>
    </row>
    <row r="97" spans="1:7" x14ac:dyDescent="0.5">
      <c r="A97" s="8">
        <v>96</v>
      </c>
      <c r="B97" s="9">
        <f>COUNTIF($B$1:B96, "&gt;0")+1001</f>
        <v>1096</v>
      </c>
      <c r="C97" s="14">
        <v>55</v>
      </c>
      <c r="D97" s="14">
        <v>43</v>
      </c>
      <c r="E97" s="14">
        <v>28</v>
      </c>
      <c r="F97" s="15">
        <v>14</v>
      </c>
      <c r="G97" s="20">
        <f t="shared" si="2"/>
        <v>6.6220000000000001E-2</v>
      </c>
    </row>
    <row r="98" spans="1:7" x14ac:dyDescent="0.5">
      <c r="A98" s="8">
        <v>97</v>
      </c>
      <c r="B98" s="9">
        <f>COUNTIF($B$1:B97, "&gt;0")+1001</f>
        <v>1097</v>
      </c>
      <c r="C98" s="14">
        <v>110</v>
      </c>
      <c r="D98" s="14">
        <v>20</v>
      </c>
      <c r="E98" s="14">
        <v>20</v>
      </c>
      <c r="F98" s="15">
        <v>6</v>
      </c>
      <c r="G98" s="20">
        <f t="shared" si="2"/>
        <v>4.3999999999999997E-2</v>
      </c>
    </row>
    <row r="99" spans="1:7" x14ac:dyDescent="0.5">
      <c r="A99" s="8">
        <v>98</v>
      </c>
      <c r="B99" s="9">
        <f>COUNTIF($B$1:B98, "&gt;0")+1001</f>
        <v>1098</v>
      </c>
      <c r="C99" s="9">
        <v>87</v>
      </c>
      <c r="D99" s="9">
        <v>86</v>
      </c>
      <c r="E99" s="9">
        <v>53</v>
      </c>
      <c r="F99" s="9">
        <v>104</v>
      </c>
      <c r="G99" s="20">
        <f t="shared" si="2"/>
        <v>0.39654600000000001</v>
      </c>
    </row>
    <row r="100" spans="1:7" x14ac:dyDescent="0.5">
      <c r="A100" s="8">
        <v>99</v>
      </c>
      <c r="B100" s="9">
        <f>COUNTIF($B$1:B99, "&gt;0")+1001</f>
        <v>1099</v>
      </c>
      <c r="C100" s="33">
        <v>62</v>
      </c>
      <c r="D100" s="33">
        <v>62</v>
      </c>
      <c r="E100" s="33">
        <v>30</v>
      </c>
      <c r="F100" s="34">
        <v>48</v>
      </c>
      <c r="G100" s="20">
        <f t="shared" si="2"/>
        <v>0.11532000000000001</v>
      </c>
    </row>
    <row r="101" spans="1:7" x14ac:dyDescent="0.5">
      <c r="A101" s="8">
        <v>100</v>
      </c>
      <c r="B101" s="9">
        <f>COUNTIF($B$1:B100, "&gt;0")+1001</f>
        <v>1100</v>
      </c>
      <c r="C101" s="33">
        <v>62</v>
      </c>
      <c r="D101" s="33">
        <v>62</v>
      </c>
      <c r="E101" s="33">
        <v>30</v>
      </c>
      <c r="F101" s="34">
        <v>48</v>
      </c>
      <c r="G101" s="20">
        <f t="shared" si="2"/>
        <v>0.11532000000000001</v>
      </c>
    </row>
    <row r="102" spans="1:7" x14ac:dyDescent="0.5">
      <c r="A102" s="8">
        <v>101</v>
      </c>
      <c r="B102" s="9">
        <f>COUNTIF($B$1:B101, "&gt;0")+1001</f>
        <v>1101</v>
      </c>
      <c r="C102" s="33">
        <v>62</v>
      </c>
      <c r="D102" s="33">
        <v>62</v>
      </c>
      <c r="E102" s="33">
        <v>30</v>
      </c>
      <c r="F102" s="34">
        <v>48</v>
      </c>
      <c r="G102" s="20">
        <f t="shared" si="2"/>
        <v>0.11532000000000001</v>
      </c>
    </row>
    <row r="103" spans="1:7" x14ac:dyDescent="0.5">
      <c r="A103" s="8">
        <v>102</v>
      </c>
      <c r="B103" s="9">
        <f>COUNTIF($B$1:B102, "&gt;0")+1001</f>
        <v>1102</v>
      </c>
      <c r="C103" s="33">
        <v>62</v>
      </c>
      <c r="D103" s="33">
        <v>62</v>
      </c>
      <c r="E103" s="33">
        <v>30</v>
      </c>
      <c r="F103" s="34">
        <v>48</v>
      </c>
      <c r="G103" s="20">
        <f t="shared" si="2"/>
        <v>0.11532000000000001</v>
      </c>
    </row>
    <row r="104" spans="1:7" x14ac:dyDescent="0.5">
      <c r="A104" s="8">
        <v>103</v>
      </c>
      <c r="B104" s="9">
        <f>COUNTIF($B$1:B103, "&gt;0")+1001</f>
        <v>1103</v>
      </c>
      <c r="C104" s="33">
        <v>62</v>
      </c>
      <c r="D104" s="33">
        <v>62</v>
      </c>
      <c r="E104" s="33">
        <v>30</v>
      </c>
      <c r="F104" s="34">
        <v>48</v>
      </c>
      <c r="G104" s="20">
        <f t="shared" si="2"/>
        <v>0.11532000000000001</v>
      </c>
    </row>
    <row r="105" spans="1:7" x14ac:dyDescent="0.5">
      <c r="A105" s="8">
        <v>104</v>
      </c>
      <c r="B105" s="9">
        <f>COUNTIF($B$1:B104, "&gt;0")+1001</f>
        <v>1104</v>
      </c>
      <c r="C105" s="33">
        <v>62</v>
      </c>
      <c r="D105" s="33">
        <v>62</v>
      </c>
      <c r="E105" s="33">
        <v>30</v>
      </c>
      <c r="F105" s="34">
        <v>48</v>
      </c>
      <c r="G105" s="20">
        <f t="shared" si="2"/>
        <v>0.11532000000000001</v>
      </c>
    </row>
    <row r="106" spans="1:7" x14ac:dyDescent="0.5">
      <c r="A106" s="8">
        <v>105</v>
      </c>
      <c r="B106" s="9">
        <f>COUNTIF($B$1:B105, "&gt;0")+1001</f>
        <v>1105</v>
      </c>
      <c r="C106" s="33">
        <v>62</v>
      </c>
      <c r="D106" s="33">
        <v>62</v>
      </c>
      <c r="E106" s="33">
        <v>30</v>
      </c>
      <c r="F106" s="34">
        <v>48</v>
      </c>
      <c r="G106" s="20">
        <f t="shared" si="2"/>
        <v>0.11532000000000001</v>
      </c>
    </row>
    <row r="107" spans="1:7" x14ac:dyDescent="0.5">
      <c r="A107" s="8">
        <v>106</v>
      </c>
      <c r="B107" s="9">
        <f>COUNTIF($B$1:B106, "&gt;0")+1001</f>
        <v>1106</v>
      </c>
      <c r="C107" s="33">
        <v>62</v>
      </c>
      <c r="D107" s="33">
        <v>62</v>
      </c>
      <c r="E107" s="33">
        <v>30</v>
      </c>
      <c r="F107" s="34">
        <v>48</v>
      </c>
      <c r="G107" s="20">
        <f t="shared" si="2"/>
        <v>0.11532000000000001</v>
      </c>
    </row>
    <row r="108" spans="1:7" x14ac:dyDescent="0.5">
      <c r="A108" s="8">
        <v>107</v>
      </c>
      <c r="B108" s="9">
        <f>COUNTIF($B$1:B107, "&gt;0")+1001</f>
        <v>1107</v>
      </c>
      <c r="C108" s="33">
        <v>62</v>
      </c>
      <c r="D108" s="33">
        <v>62</v>
      </c>
      <c r="E108" s="33">
        <v>30</v>
      </c>
      <c r="F108" s="34">
        <v>48</v>
      </c>
      <c r="G108" s="20">
        <f t="shared" si="2"/>
        <v>0.11532000000000001</v>
      </c>
    </row>
    <row r="109" spans="1:7" x14ac:dyDescent="0.5">
      <c r="A109" s="8">
        <v>108</v>
      </c>
      <c r="B109" s="9">
        <f>COUNTIF($B$1:B108, "&gt;0")+1001</f>
        <v>1108</v>
      </c>
      <c r="C109" s="33">
        <v>62</v>
      </c>
      <c r="D109" s="33">
        <v>62</v>
      </c>
      <c r="E109" s="33">
        <v>30</v>
      </c>
      <c r="F109" s="34">
        <v>32</v>
      </c>
      <c r="G109" s="20">
        <f t="shared" si="2"/>
        <v>0.11532000000000001</v>
      </c>
    </row>
    <row r="110" spans="1:7" x14ac:dyDescent="0.5">
      <c r="A110" s="8">
        <v>109</v>
      </c>
      <c r="B110" s="9">
        <f>COUNTIF($B$1:B109, "&gt;0")+1001</f>
        <v>1109</v>
      </c>
      <c r="C110" s="33">
        <v>62</v>
      </c>
      <c r="D110" s="33">
        <v>62</v>
      </c>
      <c r="E110" s="33">
        <v>30</v>
      </c>
      <c r="F110" s="34">
        <v>32</v>
      </c>
      <c r="G110" s="20">
        <f t="shared" si="2"/>
        <v>0.11532000000000001</v>
      </c>
    </row>
    <row r="111" spans="1:7" x14ac:dyDescent="0.5">
      <c r="A111" s="8">
        <v>110</v>
      </c>
      <c r="B111" s="9">
        <f>COUNTIF($B$1:B110, "&gt;0")+1001</f>
        <v>1110</v>
      </c>
      <c r="C111" s="33">
        <v>62</v>
      </c>
      <c r="D111" s="33">
        <v>62</v>
      </c>
      <c r="E111" s="33">
        <v>30</v>
      </c>
      <c r="F111" s="34">
        <v>32</v>
      </c>
      <c r="G111" s="20">
        <f t="shared" si="2"/>
        <v>0.11532000000000001</v>
      </c>
    </row>
    <row r="112" spans="1:7" x14ac:dyDescent="0.5">
      <c r="A112" s="8">
        <v>111</v>
      </c>
      <c r="B112" s="9">
        <f>COUNTIF($B$1:B111, "&gt;0")+1001</f>
        <v>1111</v>
      </c>
      <c r="C112" s="33">
        <v>62</v>
      </c>
      <c r="D112" s="33">
        <v>62</v>
      </c>
      <c r="E112" s="33">
        <v>30</v>
      </c>
      <c r="F112" s="34">
        <v>32</v>
      </c>
      <c r="G112" s="20">
        <f t="shared" si="2"/>
        <v>0.11532000000000001</v>
      </c>
    </row>
    <row r="113" spans="1:7" x14ac:dyDescent="0.5">
      <c r="A113" s="8">
        <v>112</v>
      </c>
      <c r="B113" s="9">
        <f>COUNTIF($B$1:B112, "&gt;0")+1001</f>
        <v>1112</v>
      </c>
      <c r="C113" s="33">
        <v>62</v>
      </c>
      <c r="D113" s="33">
        <v>62</v>
      </c>
      <c r="E113" s="33">
        <v>30</v>
      </c>
      <c r="F113" s="34">
        <v>32</v>
      </c>
      <c r="G113" s="20">
        <f t="shared" si="2"/>
        <v>0.11532000000000001</v>
      </c>
    </row>
    <row r="114" spans="1:7" x14ac:dyDescent="0.5">
      <c r="A114" s="8">
        <v>113</v>
      </c>
      <c r="B114" s="9">
        <f>COUNTIF($B$1:B113, "&gt;0")+1001</f>
        <v>1113</v>
      </c>
      <c r="C114" s="33">
        <v>62</v>
      </c>
      <c r="D114" s="33">
        <v>62</v>
      </c>
      <c r="E114" s="33">
        <v>30</v>
      </c>
      <c r="F114" s="34">
        <v>32</v>
      </c>
      <c r="G114" s="20">
        <f t="shared" si="2"/>
        <v>0.11532000000000001</v>
      </c>
    </row>
    <row r="115" spans="1:7" x14ac:dyDescent="0.5">
      <c r="A115" s="8">
        <v>114</v>
      </c>
      <c r="B115" s="9">
        <f>COUNTIF($B$1:B114, "&gt;0")+1001</f>
        <v>1114</v>
      </c>
      <c r="C115" s="33">
        <v>62</v>
      </c>
      <c r="D115" s="33">
        <v>62</v>
      </c>
      <c r="E115" s="33">
        <v>30</v>
      </c>
      <c r="F115" s="34">
        <v>32</v>
      </c>
      <c r="G115" s="20">
        <f t="shared" si="2"/>
        <v>0.11532000000000001</v>
      </c>
    </row>
    <row r="116" spans="1:7" x14ac:dyDescent="0.5">
      <c r="A116" s="8">
        <v>115</v>
      </c>
      <c r="B116" s="9">
        <f>COUNTIF($B$1:B115, "&gt;0")+1001</f>
        <v>1115</v>
      </c>
      <c r="C116" s="33">
        <v>62</v>
      </c>
      <c r="D116" s="33">
        <v>62</v>
      </c>
      <c r="E116" s="33">
        <v>30</v>
      </c>
      <c r="F116" s="34">
        <v>32</v>
      </c>
      <c r="G116" s="20">
        <f t="shared" si="2"/>
        <v>0.11532000000000001</v>
      </c>
    </row>
    <row r="117" spans="1:7" x14ac:dyDescent="0.5">
      <c r="A117" s="8">
        <v>116</v>
      </c>
      <c r="B117" s="9">
        <f>COUNTIF($B$1:B116, "&gt;0")+1001</f>
        <v>1116</v>
      </c>
      <c r="C117" s="33">
        <v>62</v>
      </c>
      <c r="D117" s="33">
        <v>62</v>
      </c>
      <c r="E117" s="33">
        <v>30</v>
      </c>
      <c r="F117" s="34">
        <v>32</v>
      </c>
      <c r="G117" s="20">
        <f t="shared" si="2"/>
        <v>0.11532000000000001</v>
      </c>
    </row>
    <row r="118" spans="1:7" x14ac:dyDescent="0.5">
      <c r="A118" s="8">
        <v>117</v>
      </c>
      <c r="B118" s="9">
        <f>COUNTIF($B$1:B117, "&gt;0")+1001</f>
        <v>1117</v>
      </c>
      <c r="C118" s="33">
        <v>62</v>
      </c>
      <c r="D118" s="33">
        <v>62</v>
      </c>
      <c r="E118" s="33">
        <v>30</v>
      </c>
      <c r="F118" s="34">
        <v>32</v>
      </c>
      <c r="G118" s="20">
        <f t="shared" si="2"/>
        <v>0.11532000000000001</v>
      </c>
    </row>
    <row r="119" spans="1:7" x14ac:dyDescent="0.5">
      <c r="A119" s="8">
        <v>118</v>
      </c>
      <c r="B119" s="9">
        <f>COUNTIF($B$1:B118, "&gt;0")+1001</f>
        <v>1118</v>
      </c>
      <c r="C119" s="33">
        <v>62</v>
      </c>
      <c r="D119" s="33">
        <v>62</v>
      </c>
      <c r="E119" s="33">
        <v>30</v>
      </c>
      <c r="F119" s="34">
        <v>32</v>
      </c>
      <c r="G119" s="20">
        <f t="shared" si="2"/>
        <v>0.11532000000000001</v>
      </c>
    </row>
    <row r="120" spans="1:7" x14ac:dyDescent="0.5">
      <c r="A120" s="8">
        <v>119</v>
      </c>
      <c r="B120" s="9">
        <f>COUNTIF($B$1:B119, "&gt;0")+1001</f>
        <v>1119</v>
      </c>
      <c r="C120" s="33">
        <v>62</v>
      </c>
      <c r="D120" s="33">
        <v>62</v>
      </c>
      <c r="E120" s="33">
        <v>30</v>
      </c>
      <c r="F120" s="34">
        <v>32</v>
      </c>
      <c r="G120" s="20">
        <f t="shared" si="2"/>
        <v>0.11532000000000001</v>
      </c>
    </row>
    <row r="121" spans="1:7" x14ac:dyDescent="0.5">
      <c r="A121" s="8">
        <v>120</v>
      </c>
      <c r="B121" s="9">
        <f>COUNTIF($B$1:B120, "&gt;0")+1001</f>
        <v>1120</v>
      </c>
      <c r="C121" s="33">
        <v>62</v>
      </c>
      <c r="D121" s="33">
        <v>62</v>
      </c>
      <c r="E121" s="33">
        <v>30</v>
      </c>
      <c r="F121" s="34">
        <v>32</v>
      </c>
      <c r="G121" s="20">
        <f t="shared" si="2"/>
        <v>0.11532000000000001</v>
      </c>
    </row>
    <row r="122" spans="1:7" x14ac:dyDescent="0.5">
      <c r="A122" s="8">
        <v>121</v>
      </c>
      <c r="B122" s="9">
        <f>COUNTIF($B$1:B121, "&gt;0")+1001</f>
        <v>1121</v>
      </c>
      <c r="C122" s="33">
        <v>62</v>
      </c>
      <c r="D122" s="33">
        <v>62</v>
      </c>
      <c r="E122" s="33">
        <v>30</v>
      </c>
      <c r="F122" s="34">
        <v>32</v>
      </c>
      <c r="G122" s="20">
        <f t="shared" ref="G122:G185" si="3">PRODUCT(C122:E122)/1000000</f>
        <v>0.11532000000000001</v>
      </c>
    </row>
    <row r="123" spans="1:7" x14ac:dyDescent="0.5">
      <c r="A123" s="8">
        <v>122</v>
      </c>
      <c r="B123" s="9">
        <f>COUNTIF($B$1:B122, "&gt;0")+1001</f>
        <v>1122</v>
      </c>
      <c r="C123" s="33">
        <v>62</v>
      </c>
      <c r="D123" s="33">
        <v>62</v>
      </c>
      <c r="E123" s="33">
        <v>30</v>
      </c>
      <c r="F123" s="34">
        <v>32</v>
      </c>
      <c r="G123" s="20">
        <f t="shared" si="3"/>
        <v>0.11532000000000001</v>
      </c>
    </row>
    <row r="124" spans="1:7" x14ac:dyDescent="0.5">
      <c r="A124" s="8">
        <v>123</v>
      </c>
      <c r="B124" s="9">
        <f>COUNTIF($B$1:B123, "&gt;0")+1001</f>
        <v>1123</v>
      </c>
      <c r="C124" s="33">
        <v>62</v>
      </c>
      <c r="D124" s="33">
        <v>62</v>
      </c>
      <c r="E124" s="33">
        <v>30</v>
      </c>
      <c r="F124" s="34">
        <v>32</v>
      </c>
      <c r="G124" s="20">
        <f t="shared" si="3"/>
        <v>0.11532000000000001</v>
      </c>
    </row>
    <row r="125" spans="1:7" x14ac:dyDescent="0.5">
      <c r="A125" s="8">
        <v>124</v>
      </c>
      <c r="B125" s="9">
        <f>COUNTIF($B$1:B124, "&gt;0")+1001</f>
        <v>1124</v>
      </c>
      <c r="C125" s="33">
        <v>62</v>
      </c>
      <c r="D125" s="33">
        <v>62</v>
      </c>
      <c r="E125" s="33">
        <v>30</v>
      </c>
      <c r="F125" s="34">
        <v>32</v>
      </c>
      <c r="G125" s="20">
        <f t="shared" si="3"/>
        <v>0.11532000000000001</v>
      </c>
    </row>
    <row r="126" spans="1:7" x14ac:dyDescent="0.5">
      <c r="A126" s="8">
        <v>125</v>
      </c>
      <c r="B126" s="9">
        <f>COUNTIF($B$1:B125, "&gt;0")+1001</f>
        <v>1125</v>
      </c>
      <c r="C126" s="33">
        <v>62</v>
      </c>
      <c r="D126" s="33">
        <v>62</v>
      </c>
      <c r="E126" s="33">
        <v>30</v>
      </c>
      <c r="F126" s="34">
        <v>32</v>
      </c>
      <c r="G126" s="20">
        <f t="shared" si="3"/>
        <v>0.11532000000000001</v>
      </c>
    </row>
    <row r="127" spans="1:7" x14ac:dyDescent="0.5">
      <c r="A127" s="8">
        <v>126</v>
      </c>
      <c r="B127" s="9">
        <f>COUNTIF($B$1:B126, "&gt;0")+1001</f>
        <v>1126</v>
      </c>
      <c r="C127" s="33">
        <v>62</v>
      </c>
      <c r="D127" s="33">
        <v>62</v>
      </c>
      <c r="E127" s="33">
        <v>30</v>
      </c>
      <c r="F127" s="34">
        <v>32</v>
      </c>
      <c r="G127" s="20">
        <f t="shared" si="3"/>
        <v>0.11532000000000001</v>
      </c>
    </row>
    <row r="128" spans="1:7" x14ac:dyDescent="0.5">
      <c r="A128" s="8">
        <v>127</v>
      </c>
      <c r="B128" s="9">
        <f>COUNTIF($B$1:B127, "&gt;0")+1001</f>
        <v>1127</v>
      </c>
      <c r="C128" s="33">
        <v>62</v>
      </c>
      <c r="D128" s="33">
        <v>62</v>
      </c>
      <c r="E128" s="33">
        <v>30</v>
      </c>
      <c r="F128" s="34">
        <v>32</v>
      </c>
      <c r="G128" s="20">
        <f t="shared" si="3"/>
        <v>0.11532000000000001</v>
      </c>
    </row>
    <row r="129" spans="1:7" x14ac:dyDescent="0.5">
      <c r="A129" s="8">
        <v>128</v>
      </c>
      <c r="B129" s="9">
        <f>COUNTIF($B$1:B128, "&gt;0")+1001</f>
        <v>1128</v>
      </c>
      <c r="C129" s="33">
        <v>62</v>
      </c>
      <c r="D129" s="33">
        <v>62</v>
      </c>
      <c r="E129" s="33">
        <v>30</v>
      </c>
      <c r="F129" s="34">
        <v>32</v>
      </c>
      <c r="G129" s="20">
        <f t="shared" si="3"/>
        <v>0.11532000000000001</v>
      </c>
    </row>
    <row r="130" spans="1:7" x14ac:dyDescent="0.5">
      <c r="A130" s="8">
        <v>129</v>
      </c>
      <c r="B130" s="9">
        <f>COUNTIF($B$1:B129, "&gt;0")+1001</f>
        <v>1129</v>
      </c>
      <c r="C130" s="33">
        <v>62</v>
      </c>
      <c r="D130" s="33">
        <v>62</v>
      </c>
      <c r="E130" s="33">
        <v>30</v>
      </c>
      <c r="F130" s="34">
        <v>32</v>
      </c>
      <c r="G130" s="20">
        <f t="shared" si="3"/>
        <v>0.11532000000000001</v>
      </c>
    </row>
    <row r="131" spans="1:7" x14ac:dyDescent="0.5">
      <c r="A131" s="8">
        <v>130</v>
      </c>
      <c r="B131" s="9">
        <f>COUNTIF($B$1:B130, "&gt;0")+1001</f>
        <v>1130</v>
      </c>
      <c r="C131" s="33">
        <v>62</v>
      </c>
      <c r="D131" s="33">
        <v>62</v>
      </c>
      <c r="E131" s="33">
        <v>30</v>
      </c>
      <c r="F131" s="34">
        <v>32</v>
      </c>
      <c r="G131" s="20">
        <f t="shared" si="3"/>
        <v>0.11532000000000001</v>
      </c>
    </row>
    <row r="132" spans="1:7" x14ac:dyDescent="0.5">
      <c r="A132" s="8">
        <v>131</v>
      </c>
      <c r="B132" s="9">
        <f>COUNTIF($B$1:B131, "&gt;0")+1001</f>
        <v>1131</v>
      </c>
      <c r="C132" s="33">
        <v>62</v>
      </c>
      <c r="D132" s="33">
        <v>62</v>
      </c>
      <c r="E132" s="33">
        <v>30</v>
      </c>
      <c r="F132" s="34">
        <v>32</v>
      </c>
      <c r="G132" s="20">
        <f t="shared" si="3"/>
        <v>0.11532000000000001</v>
      </c>
    </row>
    <row r="133" spans="1:7" x14ac:dyDescent="0.5">
      <c r="A133" s="8">
        <v>132</v>
      </c>
      <c r="B133" s="9">
        <f>COUNTIF($B$1:B132, "&gt;0")+1001</f>
        <v>1132</v>
      </c>
      <c r="C133" s="33">
        <v>62</v>
      </c>
      <c r="D133" s="33">
        <v>62</v>
      </c>
      <c r="E133" s="33">
        <v>30</v>
      </c>
      <c r="F133" s="34">
        <v>32</v>
      </c>
      <c r="G133" s="20">
        <f t="shared" si="3"/>
        <v>0.11532000000000001</v>
      </c>
    </row>
    <row r="134" spans="1:7" x14ac:dyDescent="0.5">
      <c r="A134" s="8">
        <v>133</v>
      </c>
      <c r="B134" s="9">
        <f>COUNTIF($B$1:B133, "&gt;0")+1001</f>
        <v>1133</v>
      </c>
      <c r="C134" s="33">
        <v>62</v>
      </c>
      <c r="D134" s="33">
        <v>62</v>
      </c>
      <c r="E134" s="33">
        <v>30</v>
      </c>
      <c r="F134" s="34">
        <v>32</v>
      </c>
      <c r="G134" s="20">
        <f t="shared" si="3"/>
        <v>0.11532000000000001</v>
      </c>
    </row>
    <row r="135" spans="1:7" x14ac:dyDescent="0.5">
      <c r="A135" s="8">
        <v>134</v>
      </c>
      <c r="B135" s="9">
        <f>COUNTIF($B$1:B134, "&gt;0")+1001</f>
        <v>1134</v>
      </c>
      <c r="C135" s="33">
        <v>62</v>
      </c>
      <c r="D135" s="33">
        <v>62</v>
      </c>
      <c r="E135" s="33">
        <v>30</v>
      </c>
      <c r="F135" s="34">
        <v>32</v>
      </c>
      <c r="G135" s="20">
        <f t="shared" si="3"/>
        <v>0.11532000000000001</v>
      </c>
    </row>
    <row r="136" spans="1:7" x14ac:dyDescent="0.5">
      <c r="A136" s="8">
        <v>135</v>
      </c>
      <c r="B136" s="9">
        <f>COUNTIF($B$1:B135, "&gt;0")+1001</f>
        <v>1135</v>
      </c>
      <c r="C136" s="33">
        <v>62</v>
      </c>
      <c r="D136" s="33">
        <v>62</v>
      </c>
      <c r="E136" s="33">
        <v>30</v>
      </c>
      <c r="F136" s="34">
        <v>32</v>
      </c>
      <c r="G136" s="20">
        <f t="shared" si="3"/>
        <v>0.11532000000000001</v>
      </c>
    </row>
    <row r="137" spans="1:7" x14ac:dyDescent="0.5">
      <c r="A137" s="8">
        <v>136</v>
      </c>
      <c r="B137" s="9">
        <f>COUNTIF($B$1:B136, "&gt;0")+1001</f>
        <v>1136</v>
      </c>
      <c r="C137" s="33">
        <v>62</v>
      </c>
      <c r="D137" s="33">
        <v>62</v>
      </c>
      <c r="E137" s="33">
        <v>30</v>
      </c>
      <c r="F137" s="34">
        <v>32</v>
      </c>
      <c r="G137" s="20">
        <f t="shared" si="3"/>
        <v>0.11532000000000001</v>
      </c>
    </row>
    <row r="138" spans="1:7" x14ac:dyDescent="0.5">
      <c r="A138" s="8">
        <v>137</v>
      </c>
      <c r="B138" s="9">
        <f>COUNTIF($B$1:B137, "&gt;0")+1001</f>
        <v>1137</v>
      </c>
      <c r="C138" s="33">
        <v>62</v>
      </c>
      <c r="D138" s="33">
        <v>62</v>
      </c>
      <c r="E138" s="33">
        <v>30</v>
      </c>
      <c r="F138" s="34">
        <v>32</v>
      </c>
      <c r="G138" s="20">
        <f t="shared" si="3"/>
        <v>0.11532000000000001</v>
      </c>
    </row>
    <row r="139" spans="1:7" x14ac:dyDescent="0.5">
      <c r="A139" s="8">
        <v>138</v>
      </c>
      <c r="B139" s="9">
        <f>COUNTIF($B$1:B138, "&gt;0")+1001</f>
        <v>1138</v>
      </c>
      <c r="C139" s="33">
        <v>62</v>
      </c>
      <c r="D139" s="33">
        <v>62</v>
      </c>
      <c r="E139" s="33">
        <v>30</v>
      </c>
      <c r="F139" s="34">
        <v>32</v>
      </c>
      <c r="G139" s="20">
        <f t="shared" si="3"/>
        <v>0.11532000000000001</v>
      </c>
    </row>
    <row r="140" spans="1:7" x14ac:dyDescent="0.5">
      <c r="A140" s="8">
        <v>139</v>
      </c>
      <c r="B140" s="9">
        <f>COUNTIF($B$1:B139, "&gt;0")+1001</f>
        <v>1139</v>
      </c>
      <c r="C140" s="33">
        <v>62</v>
      </c>
      <c r="D140" s="33">
        <v>62</v>
      </c>
      <c r="E140" s="33">
        <v>30</v>
      </c>
      <c r="F140" s="34">
        <v>32</v>
      </c>
      <c r="G140" s="20">
        <f t="shared" si="3"/>
        <v>0.11532000000000001</v>
      </c>
    </row>
    <row r="141" spans="1:7" x14ac:dyDescent="0.5">
      <c r="A141" s="8">
        <v>140</v>
      </c>
      <c r="B141" s="9">
        <f>COUNTIF($B$1:B140, "&gt;0")+1001</f>
        <v>1140</v>
      </c>
      <c r="C141" s="33">
        <v>62</v>
      </c>
      <c r="D141" s="33">
        <v>62</v>
      </c>
      <c r="E141" s="33">
        <v>30</v>
      </c>
      <c r="F141" s="34">
        <v>32</v>
      </c>
      <c r="G141" s="20">
        <f t="shared" si="3"/>
        <v>0.11532000000000001</v>
      </c>
    </row>
    <row r="142" spans="1:7" x14ac:dyDescent="0.5">
      <c r="A142" s="8">
        <v>141</v>
      </c>
      <c r="B142" s="9">
        <f>COUNTIF($B$1:B141, "&gt;0")+1001</f>
        <v>1141</v>
      </c>
      <c r="C142" s="33">
        <v>62</v>
      </c>
      <c r="D142" s="33">
        <v>62</v>
      </c>
      <c r="E142" s="33">
        <v>30</v>
      </c>
      <c r="F142" s="34">
        <v>32</v>
      </c>
      <c r="G142" s="20">
        <f t="shared" si="3"/>
        <v>0.11532000000000001</v>
      </c>
    </row>
    <row r="143" spans="1:7" x14ac:dyDescent="0.5">
      <c r="A143" s="8">
        <v>142</v>
      </c>
      <c r="B143" s="9">
        <f>COUNTIF($B$1:B142, "&gt;0")+1001</f>
        <v>1142</v>
      </c>
      <c r="C143" s="33">
        <v>62</v>
      </c>
      <c r="D143" s="33">
        <v>62</v>
      </c>
      <c r="E143" s="33">
        <v>30</v>
      </c>
      <c r="F143" s="34">
        <v>32</v>
      </c>
      <c r="G143" s="20">
        <f t="shared" si="3"/>
        <v>0.11532000000000001</v>
      </c>
    </row>
    <row r="144" spans="1:7" x14ac:dyDescent="0.5">
      <c r="A144" s="8">
        <v>143</v>
      </c>
      <c r="B144" s="9">
        <f>COUNTIF($B$1:B143, "&gt;0")+1001</f>
        <v>1143</v>
      </c>
      <c r="C144" s="9">
        <v>62</v>
      </c>
      <c r="D144" s="9">
        <v>62</v>
      </c>
      <c r="E144" s="9">
        <v>30</v>
      </c>
      <c r="F144" s="43">
        <v>32</v>
      </c>
      <c r="G144" s="20">
        <f t="shared" si="3"/>
        <v>0.11532000000000001</v>
      </c>
    </row>
    <row r="145" spans="1:7" x14ac:dyDescent="0.5">
      <c r="A145" s="8">
        <v>144</v>
      </c>
      <c r="B145" s="9">
        <f>COUNTIF($B$1:B144, "&gt;0")+1001</f>
        <v>1144</v>
      </c>
      <c r="C145" s="44">
        <v>62</v>
      </c>
      <c r="D145" s="44">
        <v>62</v>
      </c>
      <c r="E145" s="44">
        <v>30</v>
      </c>
      <c r="F145" s="45">
        <v>27</v>
      </c>
      <c r="G145" s="20">
        <f t="shared" si="3"/>
        <v>0.11532000000000001</v>
      </c>
    </row>
    <row r="146" spans="1:7" x14ac:dyDescent="0.5">
      <c r="A146" s="8">
        <v>145</v>
      </c>
      <c r="B146" s="9">
        <f>COUNTIF($B$1:B145, "&gt;0")+1001</f>
        <v>1145</v>
      </c>
      <c r="C146" s="44">
        <v>62</v>
      </c>
      <c r="D146" s="44">
        <v>62</v>
      </c>
      <c r="E146" s="44">
        <v>30</v>
      </c>
      <c r="F146" s="45">
        <v>27</v>
      </c>
      <c r="G146" s="20">
        <f t="shared" si="3"/>
        <v>0.11532000000000001</v>
      </c>
    </row>
    <row r="147" spans="1:7" x14ac:dyDescent="0.5">
      <c r="A147" s="8">
        <v>146</v>
      </c>
      <c r="B147" s="9">
        <f>COUNTIF($B$1:B146, "&gt;0")+1001</f>
        <v>1146</v>
      </c>
      <c r="C147" s="44">
        <v>62</v>
      </c>
      <c r="D147" s="44">
        <v>62</v>
      </c>
      <c r="E147" s="44">
        <v>30</v>
      </c>
      <c r="F147" s="45">
        <v>21</v>
      </c>
      <c r="G147" s="20">
        <f t="shared" si="3"/>
        <v>0.11532000000000001</v>
      </c>
    </row>
    <row r="148" spans="1:7" x14ac:dyDescent="0.5">
      <c r="A148" s="8">
        <v>147</v>
      </c>
      <c r="B148" s="9">
        <f>COUNTIF($B$1:B147, "&gt;0")+1001</f>
        <v>1147</v>
      </c>
      <c r="C148" s="44">
        <v>62</v>
      </c>
      <c r="D148" s="44">
        <v>62</v>
      </c>
      <c r="E148" s="44">
        <v>30</v>
      </c>
      <c r="F148" s="45">
        <v>21</v>
      </c>
      <c r="G148" s="20">
        <f t="shared" si="3"/>
        <v>0.11532000000000001</v>
      </c>
    </row>
    <row r="149" spans="1:7" x14ac:dyDescent="0.5">
      <c r="A149" s="8">
        <v>148</v>
      </c>
      <c r="B149" s="9">
        <f>COUNTIF($B$1:B148, "&gt;0")+1001</f>
        <v>1148</v>
      </c>
      <c r="C149" s="44">
        <v>62</v>
      </c>
      <c r="D149" s="44">
        <v>62</v>
      </c>
      <c r="E149" s="44">
        <v>30</v>
      </c>
      <c r="F149" s="45">
        <v>21</v>
      </c>
      <c r="G149" s="20">
        <f t="shared" si="3"/>
        <v>0.11532000000000001</v>
      </c>
    </row>
    <row r="150" spans="1:7" x14ac:dyDescent="0.5">
      <c r="A150" s="8">
        <v>149</v>
      </c>
      <c r="B150" s="9">
        <f>COUNTIF($B$1:B149, "&gt;0")+1001</f>
        <v>1149</v>
      </c>
      <c r="C150" s="44">
        <v>62</v>
      </c>
      <c r="D150" s="44">
        <v>62</v>
      </c>
      <c r="E150" s="44">
        <v>30</v>
      </c>
      <c r="F150" s="45">
        <v>21</v>
      </c>
      <c r="G150" s="20">
        <f t="shared" si="3"/>
        <v>0.11532000000000001</v>
      </c>
    </row>
    <row r="151" spans="1:7" x14ac:dyDescent="0.5">
      <c r="A151" s="8">
        <v>150</v>
      </c>
      <c r="B151" s="9">
        <f>COUNTIF($B$1:B150, "&gt;0")+1001</f>
        <v>1150</v>
      </c>
      <c r="C151" s="9">
        <v>77</v>
      </c>
      <c r="D151" s="9">
        <v>77</v>
      </c>
      <c r="E151" s="9">
        <v>30</v>
      </c>
      <c r="F151" s="9">
        <v>42</v>
      </c>
      <c r="G151" s="20">
        <f t="shared" si="3"/>
        <v>0.17787</v>
      </c>
    </row>
    <row r="152" spans="1:7" x14ac:dyDescent="0.5">
      <c r="A152" s="8">
        <v>151</v>
      </c>
      <c r="B152" s="9">
        <f>COUNTIF($B$1:B151, "&gt;0")+1001</f>
        <v>1151</v>
      </c>
      <c r="C152" s="9">
        <v>77</v>
      </c>
      <c r="D152" s="9">
        <v>77</v>
      </c>
      <c r="E152" s="9">
        <v>30</v>
      </c>
      <c r="F152" s="9">
        <v>42</v>
      </c>
      <c r="G152" s="20">
        <f t="shared" si="3"/>
        <v>0.17787</v>
      </c>
    </row>
    <row r="153" spans="1:7" x14ac:dyDescent="0.5">
      <c r="A153" s="8">
        <v>152</v>
      </c>
      <c r="B153" s="9">
        <f>COUNTIF($B$1:B152, "&gt;0")+1001</f>
        <v>1152</v>
      </c>
      <c r="C153" s="9">
        <v>77</v>
      </c>
      <c r="D153" s="9">
        <v>77</v>
      </c>
      <c r="E153" s="9">
        <v>30</v>
      </c>
      <c r="F153" s="9">
        <v>42</v>
      </c>
      <c r="G153" s="20">
        <f t="shared" si="3"/>
        <v>0.17787</v>
      </c>
    </row>
    <row r="154" spans="1:7" x14ac:dyDescent="0.5">
      <c r="A154" s="8">
        <v>153</v>
      </c>
      <c r="B154" s="9">
        <f>COUNTIF($B$1:B153, "&gt;0")+1001</f>
        <v>1153</v>
      </c>
      <c r="C154" s="9">
        <v>77</v>
      </c>
      <c r="D154" s="9">
        <v>77</v>
      </c>
      <c r="E154" s="9">
        <v>30</v>
      </c>
      <c r="F154" s="9">
        <v>42</v>
      </c>
      <c r="G154" s="20">
        <f t="shared" si="3"/>
        <v>0.17787</v>
      </c>
    </row>
    <row r="155" spans="1:7" x14ac:dyDescent="0.5">
      <c r="A155" s="8">
        <v>154</v>
      </c>
      <c r="B155" s="9">
        <f>COUNTIF($B$1:B154, "&gt;0")+1001</f>
        <v>1154</v>
      </c>
      <c r="C155" s="9">
        <v>77</v>
      </c>
      <c r="D155" s="9">
        <v>77</v>
      </c>
      <c r="E155" s="9">
        <v>30</v>
      </c>
      <c r="F155" s="9">
        <v>42</v>
      </c>
      <c r="G155" s="20">
        <f t="shared" si="3"/>
        <v>0.17787</v>
      </c>
    </row>
    <row r="156" spans="1:7" x14ac:dyDescent="0.5">
      <c r="A156" s="8">
        <v>155</v>
      </c>
      <c r="B156" s="9">
        <f>COUNTIF($B$1:B155, "&gt;0")+1001</f>
        <v>1155</v>
      </c>
      <c r="C156" s="9">
        <v>77</v>
      </c>
      <c r="D156" s="9">
        <v>77</v>
      </c>
      <c r="E156" s="9">
        <v>30</v>
      </c>
      <c r="F156" s="9">
        <v>42</v>
      </c>
      <c r="G156" s="20">
        <f t="shared" si="3"/>
        <v>0.17787</v>
      </c>
    </row>
    <row r="157" spans="1:7" x14ac:dyDescent="0.5">
      <c r="A157" s="8">
        <v>156</v>
      </c>
      <c r="B157" s="9">
        <f>COUNTIF($B$1:B156, "&gt;0")+1001</f>
        <v>1156</v>
      </c>
      <c r="C157" s="9">
        <v>77</v>
      </c>
      <c r="D157" s="9">
        <v>77</v>
      </c>
      <c r="E157" s="9">
        <v>30</v>
      </c>
      <c r="F157" s="9">
        <v>42</v>
      </c>
      <c r="G157" s="20">
        <f t="shared" si="3"/>
        <v>0.17787</v>
      </c>
    </row>
    <row r="158" spans="1:7" x14ac:dyDescent="0.5">
      <c r="A158" s="8">
        <v>157</v>
      </c>
      <c r="B158" s="9">
        <f>COUNTIF($B$1:B157, "&gt;0")+1001</f>
        <v>1157</v>
      </c>
      <c r="C158" s="9">
        <v>77</v>
      </c>
      <c r="D158" s="9">
        <v>77</v>
      </c>
      <c r="E158" s="9">
        <v>30</v>
      </c>
      <c r="F158" s="9">
        <v>42</v>
      </c>
      <c r="G158" s="20">
        <f t="shared" si="3"/>
        <v>0.17787</v>
      </c>
    </row>
    <row r="159" spans="1:7" x14ac:dyDescent="0.5">
      <c r="A159" s="8">
        <v>158</v>
      </c>
      <c r="B159" s="9">
        <f>COUNTIF($B$1:B158, "&gt;0")+1001</f>
        <v>1158</v>
      </c>
      <c r="C159" s="9">
        <v>110</v>
      </c>
      <c r="D159" s="9">
        <v>100</v>
      </c>
      <c r="E159" s="9">
        <v>130</v>
      </c>
      <c r="F159" s="46">
        <v>408</v>
      </c>
      <c r="G159" s="20">
        <f t="shared" si="3"/>
        <v>1.43</v>
      </c>
    </row>
    <row r="160" spans="1:7" x14ac:dyDescent="0.5">
      <c r="A160" s="8">
        <v>159</v>
      </c>
      <c r="B160" s="9">
        <f>COUNTIF($B$1:B159, "&gt;0")+1001</f>
        <v>1159</v>
      </c>
      <c r="C160" s="9">
        <v>118</v>
      </c>
      <c r="D160" s="9">
        <v>82</v>
      </c>
      <c r="E160" s="9">
        <v>85</v>
      </c>
      <c r="F160" s="46">
        <v>241</v>
      </c>
      <c r="G160" s="20">
        <f t="shared" si="3"/>
        <v>0.82245999999999997</v>
      </c>
    </row>
    <row r="161" spans="1:7" x14ac:dyDescent="0.5">
      <c r="A161" s="8">
        <v>160</v>
      </c>
      <c r="B161" s="9">
        <f>COUNTIF($B$1:B160, "&gt;0")+1001</f>
        <v>1160</v>
      </c>
      <c r="C161" s="9">
        <v>121</v>
      </c>
      <c r="D161" s="9">
        <v>61</v>
      </c>
      <c r="E161" s="9">
        <v>78</v>
      </c>
      <c r="F161" s="46">
        <v>117</v>
      </c>
      <c r="G161" s="20">
        <f t="shared" si="3"/>
        <v>0.57571799999999995</v>
      </c>
    </row>
    <row r="162" spans="1:7" x14ac:dyDescent="0.5">
      <c r="A162" s="8">
        <v>161</v>
      </c>
      <c r="B162" s="9">
        <f>COUNTIF($B$1:B161, "&gt;0")+1001</f>
        <v>1161</v>
      </c>
      <c r="C162" s="9">
        <v>113</v>
      </c>
      <c r="D162" s="9">
        <v>76</v>
      </c>
      <c r="E162" s="9">
        <v>75</v>
      </c>
      <c r="F162" s="46">
        <v>166</v>
      </c>
      <c r="G162" s="20">
        <f t="shared" si="3"/>
        <v>0.64410000000000001</v>
      </c>
    </row>
    <row r="163" spans="1:7" x14ac:dyDescent="0.5">
      <c r="A163" s="8">
        <v>162</v>
      </c>
      <c r="B163" s="9">
        <f>COUNTIF($B$1:B162, "&gt;0")+1001</f>
        <v>1162</v>
      </c>
      <c r="C163" s="9">
        <v>121</v>
      </c>
      <c r="D163" s="9">
        <v>81</v>
      </c>
      <c r="E163" s="9">
        <v>89</v>
      </c>
      <c r="F163" s="46">
        <v>310</v>
      </c>
      <c r="G163" s="20">
        <f t="shared" si="3"/>
        <v>0.87228899999999998</v>
      </c>
    </row>
    <row r="164" spans="1:7" x14ac:dyDescent="0.5">
      <c r="A164" s="8">
        <v>163</v>
      </c>
      <c r="B164" s="9">
        <f>COUNTIF($B$1:B163, "&gt;0")+1001</f>
        <v>1163</v>
      </c>
      <c r="C164" s="9">
        <v>117</v>
      </c>
      <c r="D164" s="9">
        <v>81</v>
      </c>
      <c r="E164" s="9">
        <v>88</v>
      </c>
      <c r="F164" s="46">
        <v>337</v>
      </c>
      <c r="G164" s="20">
        <f t="shared" si="3"/>
        <v>0.83397600000000005</v>
      </c>
    </row>
    <row r="165" spans="1:7" x14ac:dyDescent="0.5">
      <c r="A165" s="8">
        <v>164</v>
      </c>
      <c r="B165" s="9">
        <f>COUNTIF($B$1:B164, "&gt;0")+1001</f>
        <v>1164</v>
      </c>
      <c r="C165" s="9">
        <v>122</v>
      </c>
      <c r="D165" s="9">
        <v>79</v>
      </c>
      <c r="E165" s="9">
        <v>91</v>
      </c>
      <c r="F165" s="46">
        <v>368</v>
      </c>
      <c r="G165" s="20">
        <f t="shared" si="3"/>
        <v>0.877058</v>
      </c>
    </row>
    <row r="166" spans="1:7" x14ac:dyDescent="0.5">
      <c r="A166" s="8">
        <v>165</v>
      </c>
      <c r="B166" s="9">
        <f>COUNTIF($B$1:B165, "&gt;0")+1001</f>
        <v>1165</v>
      </c>
      <c r="C166" s="9">
        <v>122</v>
      </c>
      <c r="D166" s="9">
        <v>81</v>
      </c>
      <c r="E166" s="9">
        <v>89</v>
      </c>
      <c r="F166" s="46">
        <v>248</v>
      </c>
      <c r="G166" s="20">
        <f t="shared" si="3"/>
        <v>0.879498</v>
      </c>
    </row>
    <row r="167" spans="1:7" x14ac:dyDescent="0.5">
      <c r="A167" s="8">
        <v>166</v>
      </c>
      <c r="B167" s="9">
        <f>COUNTIF($B$1:B166, "&gt;0")+1001</f>
        <v>1166</v>
      </c>
      <c r="C167" s="9">
        <v>122</v>
      </c>
      <c r="D167" s="9">
        <v>81</v>
      </c>
      <c r="E167" s="9">
        <v>89</v>
      </c>
      <c r="F167" s="46">
        <v>248</v>
      </c>
      <c r="G167" s="20">
        <f t="shared" si="3"/>
        <v>0.879498</v>
      </c>
    </row>
    <row r="168" spans="1:7" x14ac:dyDescent="0.5">
      <c r="A168" s="8">
        <v>167</v>
      </c>
      <c r="B168" s="9">
        <f>COUNTIF($B$1:B167, "&gt;0")+1001</f>
        <v>1167</v>
      </c>
      <c r="C168" s="9">
        <v>121</v>
      </c>
      <c r="D168" s="9">
        <v>61</v>
      </c>
      <c r="E168" s="9">
        <v>78</v>
      </c>
      <c r="F168" s="46">
        <v>121</v>
      </c>
      <c r="G168" s="20">
        <f t="shared" si="3"/>
        <v>0.57571799999999995</v>
      </c>
    </row>
    <row r="169" spans="1:7" x14ac:dyDescent="0.5">
      <c r="A169" s="8">
        <v>168</v>
      </c>
      <c r="B169" s="9">
        <f>COUNTIF($B$1:B168, "&gt;0")+1001</f>
        <v>1168</v>
      </c>
      <c r="C169" s="9">
        <v>121</v>
      </c>
      <c r="D169" s="9">
        <v>61</v>
      </c>
      <c r="E169" s="9">
        <v>78</v>
      </c>
      <c r="F169" s="46">
        <v>121</v>
      </c>
      <c r="G169" s="20">
        <f t="shared" si="3"/>
        <v>0.57571799999999995</v>
      </c>
    </row>
    <row r="170" spans="1:7" x14ac:dyDescent="0.5">
      <c r="A170" s="8">
        <v>169</v>
      </c>
      <c r="B170" s="40">
        <v>2001</v>
      </c>
      <c r="C170" s="9">
        <v>59</v>
      </c>
      <c r="D170" s="9">
        <v>37</v>
      </c>
      <c r="E170" s="9">
        <v>33</v>
      </c>
      <c r="F170" s="43">
        <v>19</v>
      </c>
      <c r="G170" s="16">
        <f t="shared" si="3"/>
        <v>7.2039000000000006E-2</v>
      </c>
    </row>
    <row r="171" spans="1:7" x14ac:dyDescent="0.5">
      <c r="A171" s="8">
        <v>170</v>
      </c>
      <c r="B171" s="40">
        <f>COUNTIF($B$1:B170, "&gt;0")+2001</f>
        <v>2170</v>
      </c>
      <c r="C171" s="9">
        <v>59</v>
      </c>
      <c r="D171" s="9">
        <v>37</v>
      </c>
      <c r="E171" s="9">
        <v>33</v>
      </c>
      <c r="F171" s="43">
        <v>19</v>
      </c>
      <c r="G171" s="16">
        <f t="shared" si="3"/>
        <v>7.2039000000000006E-2</v>
      </c>
    </row>
    <row r="172" spans="1:7" x14ac:dyDescent="0.5">
      <c r="A172" s="8">
        <v>171</v>
      </c>
      <c r="B172" s="40">
        <f>COUNTIF($B$1:B171, "&gt;0")+2001</f>
        <v>2171</v>
      </c>
      <c r="C172" s="9">
        <v>59</v>
      </c>
      <c r="D172" s="9">
        <v>37</v>
      </c>
      <c r="E172" s="9">
        <v>33</v>
      </c>
      <c r="F172" s="43">
        <v>19</v>
      </c>
      <c r="G172" s="16">
        <f t="shared" si="3"/>
        <v>7.2039000000000006E-2</v>
      </c>
    </row>
    <row r="173" spans="1:7" x14ac:dyDescent="0.5">
      <c r="A173" s="8">
        <v>172</v>
      </c>
      <c r="B173" s="40">
        <f>COUNTIF($B$1:B172, "&gt;0")+2001</f>
        <v>2172</v>
      </c>
      <c r="C173" s="9">
        <v>59</v>
      </c>
      <c r="D173" s="9">
        <v>37</v>
      </c>
      <c r="E173" s="9">
        <v>33</v>
      </c>
      <c r="F173" s="43">
        <v>19</v>
      </c>
      <c r="G173" s="16">
        <f t="shared" si="3"/>
        <v>7.2039000000000006E-2</v>
      </c>
    </row>
    <row r="174" spans="1:7" x14ac:dyDescent="0.5">
      <c r="A174" s="8">
        <v>173</v>
      </c>
      <c r="B174" s="40">
        <f>COUNTIF($B$1:B173, "&gt;0")+2001</f>
        <v>2173</v>
      </c>
      <c r="C174" s="9">
        <v>59</v>
      </c>
      <c r="D174" s="9">
        <v>37</v>
      </c>
      <c r="E174" s="9">
        <v>33</v>
      </c>
      <c r="F174" s="43">
        <v>19</v>
      </c>
      <c r="G174" s="16">
        <f t="shared" si="3"/>
        <v>7.2039000000000006E-2</v>
      </c>
    </row>
    <row r="175" spans="1:7" x14ac:dyDescent="0.5">
      <c r="A175" s="8">
        <v>174</v>
      </c>
      <c r="B175" s="40">
        <f>COUNTIF($B$1:B174, "&gt;0")+2001</f>
        <v>2174</v>
      </c>
      <c r="C175" s="9">
        <v>59</v>
      </c>
      <c r="D175" s="9">
        <v>37</v>
      </c>
      <c r="E175" s="9">
        <v>33</v>
      </c>
      <c r="F175" s="43">
        <v>19</v>
      </c>
      <c r="G175" s="16">
        <f t="shared" si="3"/>
        <v>7.2039000000000006E-2</v>
      </c>
    </row>
    <row r="176" spans="1:7" x14ac:dyDescent="0.5">
      <c r="A176" s="8">
        <v>175</v>
      </c>
      <c r="B176" s="40">
        <f>COUNTIF($B$1:B175, "&gt;0")+2001</f>
        <v>2175</v>
      </c>
      <c r="C176" s="9">
        <v>59</v>
      </c>
      <c r="D176" s="9">
        <v>37</v>
      </c>
      <c r="E176" s="9">
        <v>33</v>
      </c>
      <c r="F176" s="43">
        <v>19</v>
      </c>
      <c r="G176" s="16">
        <f t="shared" si="3"/>
        <v>7.2039000000000006E-2</v>
      </c>
    </row>
    <row r="177" spans="1:7" x14ac:dyDescent="0.5">
      <c r="A177" s="8">
        <v>176</v>
      </c>
      <c r="B177" s="40">
        <f>COUNTIF($B$1:B176, "&gt;0")+2001</f>
        <v>2176</v>
      </c>
      <c r="C177" s="9">
        <v>59</v>
      </c>
      <c r="D177" s="9">
        <v>37</v>
      </c>
      <c r="E177" s="9">
        <v>33</v>
      </c>
      <c r="F177" s="43">
        <v>19</v>
      </c>
      <c r="G177" s="16">
        <f t="shared" si="3"/>
        <v>7.2039000000000006E-2</v>
      </c>
    </row>
    <row r="178" spans="1:7" x14ac:dyDescent="0.5">
      <c r="A178" s="8">
        <v>177</v>
      </c>
      <c r="B178" s="40">
        <f>COUNTIF($B$1:B177, "&gt;0")+2001</f>
        <v>2177</v>
      </c>
      <c r="C178" s="9">
        <v>59</v>
      </c>
      <c r="D178" s="9">
        <v>37</v>
      </c>
      <c r="E178" s="9">
        <v>33</v>
      </c>
      <c r="F178" s="43">
        <v>19</v>
      </c>
      <c r="G178" s="16">
        <f t="shared" si="3"/>
        <v>7.2039000000000006E-2</v>
      </c>
    </row>
    <row r="179" spans="1:7" x14ac:dyDescent="0.5">
      <c r="A179" s="8">
        <v>178</v>
      </c>
      <c r="B179" s="40">
        <f>COUNTIF($B$1:B178, "&gt;0")+2001</f>
        <v>2178</v>
      </c>
      <c r="C179" s="9">
        <v>59</v>
      </c>
      <c r="D179" s="9">
        <v>37</v>
      </c>
      <c r="E179" s="9">
        <v>33</v>
      </c>
      <c r="F179" s="43">
        <v>19</v>
      </c>
      <c r="G179" s="16">
        <f t="shared" si="3"/>
        <v>7.2039000000000006E-2</v>
      </c>
    </row>
    <row r="180" spans="1:7" x14ac:dyDescent="0.5">
      <c r="A180" s="8">
        <v>179</v>
      </c>
      <c r="B180" s="40">
        <f>COUNTIF($B$1:B179, "&gt;0")+2001</f>
        <v>2179</v>
      </c>
      <c r="C180" s="9">
        <v>59</v>
      </c>
      <c r="D180" s="9">
        <v>37</v>
      </c>
      <c r="E180" s="9">
        <v>33</v>
      </c>
      <c r="F180" s="43">
        <v>19</v>
      </c>
      <c r="G180" s="16">
        <f t="shared" si="3"/>
        <v>7.2039000000000006E-2</v>
      </c>
    </row>
    <row r="181" spans="1:7" x14ac:dyDescent="0.5">
      <c r="A181" s="8">
        <v>180</v>
      </c>
      <c r="B181" s="40">
        <f>COUNTIF($B$1:B180, "&gt;0")+2001</f>
        <v>2180</v>
      </c>
      <c r="C181" s="9">
        <v>59</v>
      </c>
      <c r="D181" s="9">
        <v>37</v>
      </c>
      <c r="E181" s="9">
        <v>33</v>
      </c>
      <c r="F181" s="43">
        <v>19</v>
      </c>
      <c r="G181" s="16">
        <f t="shared" si="3"/>
        <v>7.2039000000000006E-2</v>
      </c>
    </row>
    <row r="182" spans="1:7" x14ac:dyDescent="0.5">
      <c r="A182" s="8">
        <v>181</v>
      </c>
      <c r="B182" s="40">
        <f>COUNTIF($B$1:B181, "&gt;0")+2001</f>
        <v>2181</v>
      </c>
      <c r="C182" s="21">
        <v>76</v>
      </c>
      <c r="D182" s="21">
        <v>39</v>
      </c>
      <c r="E182" s="21">
        <v>34</v>
      </c>
      <c r="F182" s="34">
        <v>19</v>
      </c>
      <c r="G182" s="20">
        <f t="shared" si="3"/>
        <v>0.100776</v>
      </c>
    </row>
    <row r="183" spans="1:7" x14ac:dyDescent="0.5">
      <c r="A183" s="8">
        <v>182</v>
      </c>
      <c r="B183" s="40">
        <f>COUNTIF($B$1:B182, "&gt;0")+2001</f>
        <v>2182</v>
      </c>
      <c r="C183" s="21">
        <v>76</v>
      </c>
      <c r="D183" s="21">
        <v>39</v>
      </c>
      <c r="E183" s="21">
        <v>34</v>
      </c>
      <c r="F183" s="34">
        <v>19</v>
      </c>
      <c r="G183" s="20">
        <f t="shared" si="3"/>
        <v>0.100776</v>
      </c>
    </row>
    <row r="184" spans="1:7" x14ac:dyDescent="0.5">
      <c r="A184" s="8">
        <v>183</v>
      </c>
      <c r="B184" s="40">
        <f>COUNTIF($B$1:B183, "&gt;0")+2001</f>
        <v>2183</v>
      </c>
      <c r="C184" s="21">
        <v>76</v>
      </c>
      <c r="D184" s="21">
        <v>39</v>
      </c>
      <c r="E184" s="21">
        <v>34</v>
      </c>
      <c r="F184" s="34">
        <v>19</v>
      </c>
      <c r="G184" s="20">
        <f t="shared" si="3"/>
        <v>0.100776</v>
      </c>
    </row>
    <row r="185" spans="1:7" x14ac:dyDescent="0.5">
      <c r="A185" s="8">
        <v>184</v>
      </c>
      <c r="B185" s="40">
        <f>COUNTIF($B$1:B184, "&gt;0")+2001</f>
        <v>2184</v>
      </c>
      <c r="C185" s="21">
        <v>76</v>
      </c>
      <c r="D185" s="21">
        <v>39</v>
      </c>
      <c r="E185" s="21">
        <v>34</v>
      </c>
      <c r="F185" s="34">
        <v>19</v>
      </c>
      <c r="G185" s="20">
        <f t="shared" si="3"/>
        <v>0.100776</v>
      </c>
    </row>
    <row r="186" spans="1:7" x14ac:dyDescent="0.5">
      <c r="A186" s="8">
        <v>185</v>
      </c>
      <c r="B186" s="40">
        <f>COUNTIF($B$1:B185, "&gt;0")+2001</f>
        <v>2185</v>
      </c>
      <c r="C186" s="21">
        <v>76</v>
      </c>
      <c r="D186" s="21">
        <v>39</v>
      </c>
      <c r="E186" s="21">
        <v>34</v>
      </c>
      <c r="F186" s="34">
        <v>19</v>
      </c>
      <c r="G186" s="20">
        <f t="shared" ref="G186:G249" si="4">PRODUCT(C186:E186)/1000000</f>
        <v>0.100776</v>
      </c>
    </row>
    <row r="187" spans="1:7" x14ac:dyDescent="0.5">
      <c r="A187" s="8">
        <v>186</v>
      </c>
      <c r="B187" s="40">
        <f>COUNTIF($B$1:B186, "&gt;0")+2001</f>
        <v>2186</v>
      </c>
      <c r="C187" s="21">
        <v>76</v>
      </c>
      <c r="D187" s="21">
        <v>39</v>
      </c>
      <c r="E187" s="21">
        <v>34</v>
      </c>
      <c r="F187" s="34">
        <v>19</v>
      </c>
      <c r="G187" s="20">
        <f t="shared" si="4"/>
        <v>0.100776</v>
      </c>
    </row>
    <row r="188" spans="1:7" x14ac:dyDescent="0.5">
      <c r="A188" s="8">
        <v>187</v>
      </c>
      <c r="B188" s="40">
        <f>COUNTIF($B$1:B187, "&gt;0")+2001</f>
        <v>2187</v>
      </c>
      <c r="C188" s="21">
        <v>76</v>
      </c>
      <c r="D188" s="21">
        <v>36</v>
      </c>
      <c r="E188" s="21">
        <v>34</v>
      </c>
      <c r="F188" s="21">
        <v>17</v>
      </c>
      <c r="G188" s="20">
        <f t="shared" si="4"/>
        <v>9.3023999999999996E-2</v>
      </c>
    </row>
    <row r="189" spans="1:7" x14ac:dyDescent="0.5">
      <c r="A189" s="8">
        <v>188</v>
      </c>
      <c r="B189" s="40">
        <f>COUNTIF($B$1:B188, "&gt;0")+2001</f>
        <v>2188</v>
      </c>
      <c r="C189" s="21">
        <v>76</v>
      </c>
      <c r="D189" s="21">
        <v>36</v>
      </c>
      <c r="E189" s="21">
        <v>34</v>
      </c>
      <c r="F189" s="21">
        <v>17</v>
      </c>
      <c r="G189" s="20">
        <f t="shared" si="4"/>
        <v>9.3023999999999996E-2</v>
      </c>
    </row>
    <row r="190" spans="1:7" x14ac:dyDescent="0.5">
      <c r="A190" s="8">
        <v>189</v>
      </c>
      <c r="B190" s="40">
        <f>COUNTIF($B$1:B189, "&gt;0")+2001</f>
        <v>2189</v>
      </c>
      <c r="C190" s="47">
        <v>78</v>
      </c>
      <c r="D190" s="47">
        <v>52</v>
      </c>
      <c r="E190" s="47">
        <v>17</v>
      </c>
      <c r="F190" s="36">
        <v>20.9</v>
      </c>
      <c r="G190" s="20">
        <f t="shared" si="4"/>
        <v>6.8951999999999999E-2</v>
      </c>
    </row>
    <row r="191" spans="1:7" x14ac:dyDescent="0.5">
      <c r="A191" s="8">
        <v>190</v>
      </c>
      <c r="B191" s="40">
        <f>COUNTIF($B$1:B190, "&gt;0")+2001</f>
        <v>2190</v>
      </c>
      <c r="C191" s="47">
        <v>50</v>
      </c>
      <c r="D191" s="47">
        <v>43</v>
      </c>
      <c r="E191" s="47">
        <v>22</v>
      </c>
      <c r="F191" s="36">
        <v>15.6</v>
      </c>
      <c r="G191" s="20">
        <f t="shared" si="4"/>
        <v>4.7300000000000002E-2</v>
      </c>
    </row>
    <row r="192" spans="1:7" x14ac:dyDescent="0.5">
      <c r="A192" s="8">
        <v>191</v>
      </c>
      <c r="B192" s="40">
        <f>COUNTIF($B$1:B191, "&gt;0")+2001</f>
        <v>2191</v>
      </c>
      <c r="C192" s="47">
        <v>110</v>
      </c>
      <c r="D192" s="47">
        <v>40</v>
      </c>
      <c r="E192" s="47">
        <v>15</v>
      </c>
      <c r="F192" s="36">
        <v>16.399999999999999</v>
      </c>
      <c r="G192" s="20">
        <f t="shared" si="4"/>
        <v>6.6000000000000003E-2</v>
      </c>
    </row>
    <row r="193" spans="1:7" x14ac:dyDescent="0.5">
      <c r="A193" s="8">
        <v>192</v>
      </c>
      <c r="B193" s="40">
        <f>COUNTIF($B$1:B192, "&gt;0")+2001</f>
        <v>2192</v>
      </c>
      <c r="C193" s="44">
        <v>41</v>
      </c>
      <c r="D193" s="44">
        <v>38</v>
      </c>
      <c r="E193" s="44">
        <v>26</v>
      </c>
      <c r="F193" s="45">
        <v>4</v>
      </c>
      <c r="G193" s="20">
        <f t="shared" si="4"/>
        <v>4.0508000000000002E-2</v>
      </c>
    </row>
    <row r="194" spans="1:7" x14ac:dyDescent="0.5">
      <c r="A194" s="8">
        <v>193</v>
      </c>
      <c r="B194" s="40">
        <f>COUNTIF($B$1:B193, "&gt;0")+2001</f>
        <v>2193</v>
      </c>
      <c r="C194" s="44">
        <v>41</v>
      </c>
      <c r="D194" s="44">
        <v>38</v>
      </c>
      <c r="E194" s="44">
        <v>26</v>
      </c>
      <c r="F194" s="45">
        <v>4</v>
      </c>
      <c r="G194" s="20">
        <f t="shared" si="4"/>
        <v>4.0508000000000002E-2</v>
      </c>
    </row>
    <row r="195" spans="1:7" x14ac:dyDescent="0.5">
      <c r="A195" s="8">
        <v>194</v>
      </c>
      <c r="B195" s="40">
        <f>COUNTIF($B$1:B194, "&gt;0")+2001</f>
        <v>2194</v>
      </c>
      <c r="C195" s="44">
        <v>41</v>
      </c>
      <c r="D195" s="44">
        <v>38</v>
      </c>
      <c r="E195" s="44">
        <v>26</v>
      </c>
      <c r="F195" s="45">
        <v>4</v>
      </c>
      <c r="G195" s="20">
        <f t="shared" si="4"/>
        <v>4.0508000000000002E-2</v>
      </c>
    </row>
    <row r="196" spans="1:7" x14ac:dyDescent="0.5">
      <c r="A196" s="8">
        <v>195</v>
      </c>
      <c r="B196" s="40">
        <f>COUNTIF($B$1:B195, "&gt;0")+2001</f>
        <v>2195</v>
      </c>
      <c r="C196" s="44">
        <v>41</v>
      </c>
      <c r="D196" s="44">
        <v>38</v>
      </c>
      <c r="E196" s="44">
        <v>26</v>
      </c>
      <c r="F196" s="45">
        <v>4</v>
      </c>
      <c r="G196" s="20">
        <f t="shared" si="4"/>
        <v>4.0508000000000002E-2</v>
      </c>
    </row>
    <row r="197" spans="1:7" x14ac:dyDescent="0.5">
      <c r="A197" s="8">
        <v>196</v>
      </c>
      <c r="B197" s="40">
        <f>COUNTIF($B$1:B196, "&gt;0")+2001</f>
        <v>2196</v>
      </c>
      <c r="C197" s="44">
        <v>41</v>
      </c>
      <c r="D197" s="44">
        <v>38</v>
      </c>
      <c r="E197" s="44">
        <v>26</v>
      </c>
      <c r="F197" s="45">
        <v>4</v>
      </c>
      <c r="G197" s="20">
        <f t="shared" si="4"/>
        <v>4.0508000000000002E-2</v>
      </c>
    </row>
    <row r="198" spans="1:7" x14ac:dyDescent="0.5">
      <c r="A198" s="8">
        <v>197</v>
      </c>
      <c r="B198" s="40">
        <f>COUNTIF($B$1:B197, "&gt;0")+2001</f>
        <v>2197</v>
      </c>
      <c r="C198" s="44">
        <v>41</v>
      </c>
      <c r="D198" s="44">
        <v>38</v>
      </c>
      <c r="E198" s="44">
        <v>26</v>
      </c>
      <c r="F198" s="45">
        <v>4</v>
      </c>
      <c r="G198" s="20">
        <f t="shared" si="4"/>
        <v>4.0508000000000002E-2</v>
      </c>
    </row>
    <row r="199" spans="1:7" x14ac:dyDescent="0.5">
      <c r="A199" s="8">
        <v>198</v>
      </c>
      <c r="B199" s="40">
        <f>COUNTIF($B$1:B198, "&gt;0")+2001</f>
        <v>2198</v>
      </c>
      <c r="C199" s="44">
        <v>41</v>
      </c>
      <c r="D199" s="44">
        <v>38</v>
      </c>
      <c r="E199" s="44">
        <v>26</v>
      </c>
      <c r="F199" s="45">
        <v>4</v>
      </c>
      <c r="G199" s="20">
        <f t="shared" si="4"/>
        <v>4.0508000000000002E-2</v>
      </c>
    </row>
    <row r="200" spans="1:7" x14ac:dyDescent="0.5">
      <c r="A200" s="8">
        <v>199</v>
      </c>
      <c r="B200" s="40">
        <f>COUNTIF($B$1:B199, "&gt;0")+2001</f>
        <v>2199</v>
      </c>
      <c r="C200" s="44">
        <v>41</v>
      </c>
      <c r="D200" s="44">
        <v>38</v>
      </c>
      <c r="E200" s="44">
        <v>26</v>
      </c>
      <c r="F200" s="45">
        <v>4</v>
      </c>
      <c r="G200" s="20">
        <f t="shared" si="4"/>
        <v>4.0508000000000002E-2</v>
      </c>
    </row>
    <row r="201" spans="1:7" x14ac:dyDescent="0.5">
      <c r="A201" s="8">
        <v>200</v>
      </c>
      <c r="B201" s="40">
        <f>COUNTIF($B$1:B200, "&gt;0")+2001</f>
        <v>2200</v>
      </c>
      <c r="C201" s="44">
        <v>41</v>
      </c>
      <c r="D201" s="44">
        <v>38</v>
      </c>
      <c r="E201" s="44">
        <v>26</v>
      </c>
      <c r="F201" s="45">
        <v>4</v>
      </c>
      <c r="G201" s="20">
        <f t="shared" si="4"/>
        <v>4.0508000000000002E-2</v>
      </c>
    </row>
    <row r="202" spans="1:7" x14ac:dyDescent="0.5">
      <c r="A202" s="8">
        <v>201</v>
      </c>
      <c r="B202" s="40">
        <f>COUNTIF($B$1:B201, "&gt;0")+2001</f>
        <v>2201</v>
      </c>
      <c r="C202" s="44">
        <v>41</v>
      </c>
      <c r="D202" s="44">
        <v>38</v>
      </c>
      <c r="E202" s="44">
        <v>26</v>
      </c>
      <c r="F202" s="45">
        <v>4</v>
      </c>
      <c r="G202" s="20">
        <f t="shared" si="4"/>
        <v>4.0508000000000002E-2</v>
      </c>
    </row>
    <row r="203" spans="1:7" x14ac:dyDescent="0.5">
      <c r="A203" s="8">
        <v>202</v>
      </c>
      <c r="B203" s="40">
        <f>COUNTIF($B$1:B202, "&gt;0")+2001</f>
        <v>2202</v>
      </c>
      <c r="C203" s="44">
        <v>41</v>
      </c>
      <c r="D203" s="44">
        <v>38</v>
      </c>
      <c r="E203" s="44">
        <v>26</v>
      </c>
      <c r="F203" s="45">
        <v>4</v>
      </c>
      <c r="G203" s="20">
        <f t="shared" si="4"/>
        <v>4.0508000000000002E-2</v>
      </c>
    </row>
    <row r="204" spans="1:7" x14ac:dyDescent="0.5">
      <c r="A204" s="8">
        <v>203</v>
      </c>
      <c r="B204" s="40">
        <f>COUNTIF($B$1:B203, "&gt;0")+2001</f>
        <v>2203</v>
      </c>
      <c r="C204" s="48">
        <v>63</v>
      </c>
      <c r="D204" s="48">
        <v>52</v>
      </c>
      <c r="E204" s="48">
        <v>23</v>
      </c>
      <c r="F204" s="24">
        <v>11</v>
      </c>
      <c r="G204" s="20">
        <f t="shared" si="4"/>
        <v>7.5347999999999998E-2</v>
      </c>
    </row>
    <row r="205" spans="1:7" x14ac:dyDescent="0.5">
      <c r="A205" s="8">
        <v>204</v>
      </c>
      <c r="B205" s="40">
        <f>COUNTIF($B$1:B204, "&gt;0")+2001</f>
        <v>2204</v>
      </c>
      <c r="C205" s="48">
        <v>63</v>
      </c>
      <c r="D205" s="48">
        <v>52</v>
      </c>
      <c r="E205" s="48">
        <v>23</v>
      </c>
      <c r="F205" s="24">
        <v>11</v>
      </c>
      <c r="G205" s="20">
        <f t="shared" si="4"/>
        <v>7.5347999999999998E-2</v>
      </c>
    </row>
    <row r="206" spans="1:7" x14ac:dyDescent="0.5">
      <c r="A206" s="8">
        <v>205</v>
      </c>
      <c r="B206" s="40">
        <f>COUNTIF($B$1:B205, "&gt;0")+2001</f>
        <v>2205</v>
      </c>
      <c r="C206" s="48">
        <v>63</v>
      </c>
      <c r="D206" s="48">
        <v>52</v>
      </c>
      <c r="E206" s="48">
        <v>23</v>
      </c>
      <c r="F206" s="24">
        <v>11</v>
      </c>
      <c r="G206" s="20">
        <f t="shared" si="4"/>
        <v>7.5347999999999998E-2</v>
      </c>
    </row>
    <row r="207" spans="1:7" x14ac:dyDescent="0.5">
      <c r="A207" s="8">
        <v>206</v>
      </c>
      <c r="B207" s="40">
        <f>COUNTIF($B$1:B206, "&gt;0")+2001</f>
        <v>2206</v>
      </c>
      <c r="C207" s="48">
        <v>63</v>
      </c>
      <c r="D207" s="48">
        <v>52</v>
      </c>
      <c r="E207" s="48">
        <v>23</v>
      </c>
      <c r="F207" s="24">
        <v>11</v>
      </c>
      <c r="G207" s="20">
        <f t="shared" si="4"/>
        <v>7.5347999999999998E-2</v>
      </c>
    </row>
    <row r="208" spans="1:7" x14ac:dyDescent="0.5">
      <c r="A208" s="8">
        <v>207</v>
      </c>
      <c r="B208" s="40">
        <f>COUNTIF($B$1:B207, "&gt;0")+2001</f>
        <v>2207</v>
      </c>
      <c r="C208" s="48">
        <v>63</v>
      </c>
      <c r="D208" s="48">
        <v>52</v>
      </c>
      <c r="E208" s="48">
        <v>23</v>
      </c>
      <c r="F208" s="24">
        <v>11</v>
      </c>
      <c r="G208" s="20">
        <f t="shared" si="4"/>
        <v>7.5347999999999998E-2</v>
      </c>
    </row>
    <row r="209" spans="1:7" x14ac:dyDescent="0.5">
      <c r="A209" s="8">
        <v>208</v>
      </c>
      <c r="B209" s="40">
        <f>COUNTIF($B$1:B208, "&gt;0")+2001</f>
        <v>2208</v>
      </c>
      <c r="C209" s="48">
        <v>63</v>
      </c>
      <c r="D209" s="48">
        <v>52</v>
      </c>
      <c r="E209" s="48">
        <v>23</v>
      </c>
      <c r="F209" s="24">
        <v>11</v>
      </c>
      <c r="G209" s="20">
        <f t="shared" si="4"/>
        <v>7.5347999999999998E-2</v>
      </c>
    </row>
    <row r="210" spans="1:7" x14ac:dyDescent="0.5">
      <c r="A210" s="8">
        <v>209</v>
      </c>
      <c r="B210" s="40">
        <f>COUNTIF($B$1:B209, "&gt;0")+2001</f>
        <v>2209</v>
      </c>
      <c r="C210" s="37">
        <v>80</v>
      </c>
      <c r="D210" s="37">
        <v>38</v>
      </c>
      <c r="E210" s="37">
        <v>50</v>
      </c>
      <c r="F210" s="49">
        <v>48</v>
      </c>
      <c r="G210" s="20">
        <f t="shared" si="4"/>
        <v>0.152</v>
      </c>
    </row>
    <row r="211" spans="1:7" x14ac:dyDescent="0.5">
      <c r="A211" s="8">
        <v>210</v>
      </c>
      <c r="B211" s="40">
        <f>COUNTIF($B$1:B210, "&gt;0")+2001</f>
        <v>2210</v>
      </c>
      <c r="C211" s="37">
        <v>80</v>
      </c>
      <c r="D211" s="37">
        <v>38</v>
      </c>
      <c r="E211" s="37">
        <v>50</v>
      </c>
      <c r="F211" s="49">
        <v>48</v>
      </c>
      <c r="G211" s="20">
        <f t="shared" si="4"/>
        <v>0.152</v>
      </c>
    </row>
    <row r="212" spans="1:7" x14ac:dyDescent="0.5">
      <c r="A212" s="8">
        <v>211</v>
      </c>
      <c r="B212" s="40">
        <f>COUNTIF($B$1:B211, "&gt;0")+2001</f>
        <v>2211</v>
      </c>
      <c r="C212" s="37">
        <v>80</v>
      </c>
      <c r="D212" s="37">
        <v>38</v>
      </c>
      <c r="E212" s="37">
        <v>50</v>
      </c>
      <c r="F212" s="49">
        <v>48</v>
      </c>
      <c r="G212" s="20">
        <f t="shared" si="4"/>
        <v>0.152</v>
      </c>
    </row>
    <row r="213" spans="1:7" x14ac:dyDescent="0.5">
      <c r="A213" s="8">
        <v>212</v>
      </c>
      <c r="B213" s="40">
        <f>COUNTIF($B$1:B212, "&gt;0")+2001</f>
        <v>2212</v>
      </c>
      <c r="C213" s="37">
        <v>80</v>
      </c>
      <c r="D213" s="37">
        <v>38</v>
      </c>
      <c r="E213" s="37">
        <v>50</v>
      </c>
      <c r="F213" s="49">
        <v>48</v>
      </c>
      <c r="G213" s="20">
        <f t="shared" si="4"/>
        <v>0.152</v>
      </c>
    </row>
    <row r="214" spans="1:7" x14ac:dyDescent="0.5">
      <c r="A214" s="8">
        <v>213</v>
      </c>
      <c r="B214" s="40">
        <f>COUNTIF($B$1:B213, "&gt;0")+2001</f>
        <v>2213</v>
      </c>
      <c r="C214" s="32">
        <v>92</v>
      </c>
      <c r="D214" s="32">
        <v>49</v>
      </c>
      <c r="E214" s="32">
        <v>46</v>
      </c>
      <c r="F214" s="32">
        <v>46</v>
      </c>
      <c r="G214" s="20">
        <f t="shared" si="4"/>
        <v>0.207368</v>
      </c>
    </row>
    <row r="215" spans="1:7" x14ac:dyDescent="0.5">
      <c r="A215" s="8">
        <v>214</v>
      </c>
      <c r="B215" s="40">
        <f>COUNTIF($B$1:B214, "&gt;0")+2001</f>
        <v>2214</v>
      </c>
      <c r="C215" s="32">
        <v>92</v>
      </c>
      <c r="D215" s="32">
        <v>49</v>
      </c>
      <c r="E215" s="32">
        <v>46</v>
      </c>
      <c r="F215" s="32">
        <v>46</v>
      </c>
      <c r="G215" s="20">
        <f t="shared" si="4"/>
        <v>0.207368</v>
      </c>
    </row>
    <row r="216" spans="1:7" x14ac:dyDescent="0.5">
      <c r="A216" s="8">
        <v>215</v>
      </c>
      <c r="B216" s="40">
        <f>COUNTIF($B$1:B215, "&gt;0")+2001</f>
        <v>2215</v>
      </c>
      <c r="C216" s="32">
        <v>92</v>
      </c>
      <c r="D216" s="32">
        <v>49</v>
      </c>
      <c r="E216" s="32">
        <v>46</v>
      </c>
      <c r="F216" s="32">
        <v>46</v>
      </c>
      <c r="G216" s="20">
        <f t="shared" si="4"/>
        <v>0.207368</v>
      </c>
    </row>
    <row r="217" spans="1:7" x14ac:dyDescent="0.5">
      <c r="A217" s="8">
        <v>216</v>
      </c>
      <c r="B217" s="40">
        <f>COUNTIF($B$1:B216, "&gt;0")+2001</f>
        <v>2216</v>
      </c>
      <c r="C217" s="32">
        <v>92</v>
      </c>
      <c r="D217" s="32">
        <v>49</v>
      </c>
      <c r="E217" s="32">
        <v>46</v>
      </c>
      <c r="F217" s="32">
        <v>46</v>
      </c>
      <c r="G217" s="20">
        <f t="shared" si="4"/>
        <v>0.207368</v>
      </c>
    </row>
    <row r="218" spans="1:7" x14ac:dyDescent="0.5">
      <c r="A218" s="8">
        <v>217</v>
      </c>
      <c r="B218" s="40">
        <f>COUNTIF($B$1:B217, "&gt;0")+2001</f>
        <v>2217</v>
      </c>
      <c r="C218" s="32">
        <v>92</v>
      </c>
      <c r="D218" s="32">
        <v>49</v>
      </c>
      <c r="E218" s="32">
        <v>46</v>
      </c>
      <c r="F218" s="32">
        <v>46</v>
      </c>
      <c r="G218" s="20">
        <f t="shared" si="4"/>
        <v>0.207368</v>
      </c>
    </row>
    <row r="219" spans="1:7" x14ac:dyDescent="0.5">
      <c r="A219" s="8">
        <v>218</v>
      </c>
      <c r="B219" s="40">
        <f>COUNTIF($B$1:B218, "&gt;0")+2001</f>
        <v>2218</v>
      </c>
      <c r="C219" s="32">
        <v>92</v>
      </c>
      <c r="D219" s="32">
        <v>49</v>
      </c>
      <c r="E219" s="32">
        <v>46</v>
      </c>
      <c r="F219" s="32">
        <v>46</v>
      </c>
      <c r="G219" s="20">
        <f t="shared" si="4"/>
        <v>0.207368</v>
      </c>
    </row>
    <row r="220" spans="1:7" x14ac:dyDescent="0.5">
      <c r="A220" s="8">
        <v>219</v>
      </c>
      <c r="B220" s="40">
        <f>COUNTIF($B$1:B219, "&gt;0")+2001</f>
        <v>2219</v>
      </c>
      <c r="C220" s="32">
        <v>92</v>
      </c>
      <c r="D220" s="32">
        <v>49</v>
      </c>
      <c r="E220" s="32">
        <v>46</v>
      </c>
      <c r="F220" s="32">
        <v>46</v>
      </c>
      <c r="G220" s="20">
        <f t="shared" si="4"/>
        <v>0.207368</v>
      </c>
    </row>
    <row r="221" spans="1:7" x14ac:dyDescent="0.5">
      <c r="A221" s="8">
        <v>220</v>
      </c>
      <c r="B221" s="40">
        <f>COUNTIF($B$1:B220, "&gt;0")+2001</f>
        <v>2220</v>
      </c>
      <c r="C221" s="21">
        <v>52</v>
      </c>
      <c r="D221" s="21">
        <v>41</v>
      </c>
      <c r="E221" s="21">
        <v>20</v>
      </c>
      <c r="F221" s="27">
        <v>9</v>
      </c>
      <c r="G221" s="20">
        <f t="shared" si="4"/>
        <v>4.2639999999999997E-2</v>
      </c>
    </row>
    <row r="222" spans="1:7" x14ac:dyDescent="0.5">
      <c r="A222" s="8">
        <v>221</v>
      </c>
      <c r="B222" s="40">
        <f>COUNTIF($B$1:B221, "&gt;0")+2001</f>
        <v>2221</v>
      </c>
      <c r="C222" s="21">
        <v>52</v>
      </c>
      <c r="D222" s="21">
        <v>41</v>
      </c>
      <c r="E222" s="21">
        <v>20</v>
      </c>
      <c r="F222" s="27">
        <v>9</v>
      </c>
      <c r="G222" s="20">
        <f t="shared" si="4"/>
        <v>4.2639999999999997E-2</v>
      </c>
    </row>
    <row r="223" spans="1:7" x14ac:dyDescent="0.5">
      <c r="A223" s="8">
        <v>222</v>
      </c>
      <c r="B223" s="40">
        <f>COUNTIF($B$1:B222, "&gt;0")+2001</f>
        <v>2222</v>
      </c>
      <c r="C223" s="21">
        <v>50</v>
      </c>
      <c r="D223" s="21">
        <v>40</v>
      </c>
      <c r="E223" s="21">
        <v>20</v>
      </c>
      <c r="F223" s="21">
        <v>9</v>
      </c>
      <c r="G223" s="20">
        <f t="shared" si="4"/>
        <v>0.04</v>
      </c>
    </row>
    <row r="224" spans="1:7" x14ac:dyDescent="0.5">
      <c r="A224" s="8">
        <v>223</v>
      </c>
      <c r="B224" s="40">
        <f>COUNTIF($B$1:B223, "&gt;0")+2001</f>
        <v>2223</v>
      </c>
      <c r="C224" s="21">
        <v>50</v>
      </c>
      <c r="D224" s="21">
        <v>40</v>
      </c>
      <c r="E224" s="21">
        <v>20</v>
      </c>
      <c r="F224" s="21">
        <v>9</v>
      </c>
      <c r="G224" s="20">
        <f t="shared" si="4"/>
        <v>0.04</v>
      </c>
    </row>
    <row r="225" spans="1:7" x14ac:dyDescent="0.5">
      <c r="A225" s="8">
        <v>224</v>
      </c>
      <c r="B225" s="40">
        <f>COUNTIF($B$1:B224, "&gt;0")+2001</f>
        <v>2224</v>
      </c>
      <c r="C225" s="21">
        <v>50</v>
      </c>
      <c r="D225" s="21">
        <v>40</v>
      </c>
      <c r="E225" s="21">
        <v>20</v>
      </c>
      <c r="F225" s="21">
        <v>9</v>
      </c>
      <c r="G225" s="20">
        <f t="shared" si="4"/>
        <v>0.04</v>
      </c>
    </row>
    <row r="226" spans="1:7" x14ac:dyDescent="0.5">
      <c r="A226" s="8">
        <v>225</v>
      </c>
      <c r="B226" s="40">
        <f>COUNTIF($B$1:B225, "&gt;0")+2001</f>
        <v>2225</v>
      </c>
      <c r="C226" s="21">
        <v>50</v>
      </c>
      <c r="D226" s="21">
        <v>40</v>
      </c>
      <c r="E226" s="21">
        <v>20</v>
      </c>
      <c r="F226" s="21">
        <v>9</v>
      </c>
      <c r="G226" s="20">
        <f t="shared" si="4"/>
        <v>0.04</v>
      </c>
    </row>
    <row r="227" spans="1:7" x14ac:dyDescent="0.5">
      <c r="A227" s="8">
        <v>226</v>
      </c>
      <c r="B227" s="40">
        <f>COUNTIF($B$1:B226, "&gt;0")+2001</f>
        <v>2226</v>
      </c>
      <c r="C227" s="33">
        <v>41</v>
      </c>
      <c r="D227" s="33">
        <v>35</v>
      </c>
      <c r="E227" s="33">
        <v>17</v>
      </c>
      <c r="F227" s="34">
        <v>6</v>
      </c>
      <c r="G227" s="20">
        <f t="shared" si="4"/>
        <v>2.4395E-2</v>
      </c>
    </row>
    <row r="228" spans="1:7" x14ac:dyDescent="0.5">
      <c r="A228" s="8">
        <v>227</v>
      </c>
      <c r="B228" s="40">
        <f>COUNTIF($B$1:B227, "&gt;0")+2001</f>
        <v>2227</v>
      </c>
      <c r="C228" s="32">
        <v>53</v>
      </c>
      <c r="D228" s="32">
        <v>33</v>
      </c>
      <c r="E228" s="32">
        <v>45</v>
      </c>
      <c r="F228" s="50">
        <v>14</v>
      </c>
      <c r="G228" s="20">
        <f t="shared" si="4"/>
        <v>7.8704999999999997E-2</v>
      </c>
    </row>
    <row r="229" spans="1:7" x14ac:dyDescent="0.5">
      <c r="A229" s="8">
        <v>228</v>
      </c>
      <c r="B229" s="40">
        <f>COUNTIF($B$1:B228, "&gt;0")+2001</f>
        <v>2228</v>
      </c>
      <c r="C229" s="32">
        <v>53</v>
      </c>
      <c r="D229" s="32">
        <v>33</v>
      </c>
      <c r="E229" s="32">
        <v>45</v>
      </c>
      <c r="F229" s="50">
        <v>14</v>
      </c>
      <c r="G229" s="20">
        <f t="shared" si="4"/>
        <v>7.8704999999999997E-2</v>
      </c>
    </row>
    <row r="230" spans="1:7" x14ac:dyDescent="0.5">
      <c r="A230" s="8">
        <v>229</v>
      </c>
      <c r="B230" s="40">
        <f>COUNTIF($B$1:B229, "&gt;0")+2001</f>
        <v>2229</v>
      </c>
      <c r="C230" s="32">
        <v>53</v>
      </c>
      <c r="D230" s="32">
        <v>33</v>
      </c>
      <c r="E230" s="32">
        <v>45</v>
      </c>
      <c r="F230" s="50">
        <v>14</v>
      </c>
      <c r="G230" s="20">
        <f t="shared" si="4"/>
        <v>7.8704999999999997E-2</v>
      </c>
    </row>
    <row r="231" spans="1:7" x14ac:dyDescent="0.5">
      <c r="A231" s="8">
        <v>230</v>
      </c>
      <c r="B231" s="40">
        <f>COUNTIF($B$1:B230, "&gt;0")+2001</f>
        <v>2230</v>
      </c>
      <c r="C231" s="32">
        <v>53</v>
      </c>
      <c r="D231" s="32">
        <v>33</v>
      </c>
      <c r="E231" s="32">
        <v>45</v>
      </c>
      <c r="F231" s="50">
        <v>14</v>
      </c>
      <c r="G231" s="20">
        <f t="shared" si="4"/>
        <v>7.8704999999999997E-2</v>
      </c>
    </row>
    <row r="232" spans="1:7" x14ac:dyDescent="0.5">
      <c r="A232" s="8">
        <v>231</v>
      </c>
      <c r="B232" s="40">
        <f>COUNTIF($B$1:B231, "&gt;0")+2001</f>
        <v>2231</v>
      </c>
      <c r="C232" s="32">
        <v>53</v>
      </c>
      <c r="D232" s="32">
        <v>33</v>
      </c>
      <c r="E232" s="32">
        <v>45</v>
      </c>
      <c r="F232" s="50">
        <v>14</v>
      </c>
      <c r="G232" s="20">
        <f t="shared" si="4"/>
        <v>7.8704999999999997E-2</v>
      </c>
    </row>
    <row r="233" spans="1:7" x14ac:dyDescent="0.5">
      <c r="A233" s="8">
        <v>232</v>
      </c>
      <c r="B233" s="40">
        <f>COUNTIF($B$1:B232, "&gt;0")+2001</f>
        <v>2232</v>
      </c>
      <c r="C233" s="32">
        <v>53</v>
      </c>
      <c r="D233" s="32">
        <v>33</v>
      </c>
      <c r="E233" s="32">
        <v>45</v>
      </c>
      <c r="F233" s="50">
        <v>14</v>
      </c>
      <c r="G233" s="20">
        <f t="shared" si="4"/>
        <v>7.8704999999999997E-2</v>
      </c>
    </row>
    <row r="234" spans="1:7" x14ac:dyDescent="0.5">
      <c r="A234" s="8">
        <v>233</v>
      </c>
      <c r="B234" s="40">
        <f>COUNTIF($B$1:B233, "&gt;0")+2001</f>
        <v>2233</v>
      </c>
      <c r="C234" s="32">
        <v>53</v>
      </c>
      <c r="D234" s="32">
        <v>33</v>
      </c>
      <c r="E234" s="32">
        <v>45</v>
      </c>
      <c r="F234" s="50">
        <v>14</v>
      </c>
      <c r="G234" s="20">
        <f t="shared" si="4"/>
        <v>7.8704999999999997E-2</v>
      </c>
    </row>
    <row r="235" spans="1:7" x14ac:dyDescent="0.5">
      <c r="A235" s="8">
        <v>234</v>
      </c>
      <c r="B235" s="40">
        <f>COUNTIF($B$1:B234, "&gt;0")+2001</f>
        <v>2234</v>
      </c>
      <c r="C235" s="32">
        <v>53</v>
      </c>
      <c r="D235" s="32">
        <v>33</v>
      </c>
      <c r="E235" s="32">
        <v>45</v>
      </c>
      <c r="F235" s="50">
        <v>14</v>
      </c>
      <c r="G235" s="20">
        <f t="shared" si="4"/>
        <v>7.8704999999999997E-2</v>
      </c>
    </row>
    <row r="236" spans="1:7" x14ac:dyDescent="0.5">
      <c r="A236" s="8">
        <v>235</v>
      </c>
      <c r="B236" s="40">
        <f>COUNTIF($B$1:B235, "&gt;0")+2001</f>
        <v>2235</v>
      </c>
      <c r="C236" s="32">
        <v>53</v>
      </c>
      <c r="D236" s="32">
        <v>33</v>
      </c>
      <c r="E236" s="32">
        <v>45</v>
      </c>
      <c r="F236" s="50">
        <v>14</v>
      </c>
      <c r="G236" s="20">
        <f t="shared" si="4"/>
        <v>7.8704999999999997E-2</v>
      </c>
    </row>
    <row r="237" spans="1:7" x14ac:dyDescent="0.5">
      <c r="A237" s="8">
        <v>236</v>
      </c>
      <c r="B237" s="40">
        <f>COUNTIF($B$1:B236, "&gt;0")+2001</f>
        <v>2236</v>
      </c>
      <c r="C237" s="32">
        <v>53</v>
      </c>
      <c r="D237" s="32">
        <v>33</v>
      </c>
      <c r="E237" s="32">
        <v>45</v>
      </c>
      <c r="F237" s="50">
        <v>14</v>
      </c>
      <c r="G237" s="20">
        <f t="shared" si="4"/>
        <v>7.8704999999999997E-2</v>
      </c>
    </row>
    <row r="238" spans="1:7" x14ac:dyDescent="0.5">
      <c r="A238" s="8">
        <v>237</v>
      </c>
      <c r="B238" s="40">
        <f>COUNTIF($B$1:B237, "&gt;0")+2001</f>
        <v>2237</v>
      </c>
      <c r="C238" s="32">
        <v>53</v>
      </c>
      <c r="D238" s="32">
        <v>33</v>
      </c>
      <c r="E238" s="32">
        <v>45</v>
      </c>
      <c r="F238" s="50">
        <v>14</v>
      </c>
      <c r="G238" s="20">
        <f t="shared" si="4"/>
        <v>7.8704999999999997E-2</v>
      </c>
    </row>
    <row r="239" spans="1:7" x14ac:dyDescent="0.5">
      <c r="A239" s="8">
        <v>238</v>
      </c>
      <c r="B239" s="40">
        <f>COUNTIF($B$1:B238, "&gt;0")+2001</f>
        <v>2238</v>
      </c>
      <c r="C239" s="32">
        <v>56</v>
      </c>
      <c r="D239" s="32">
        <v>51</v>
      </c>
      <c r="E239" s="32">
        <v>39</v>
      </c>
      <c r="F239" s="50">
        <v>33</v>
      </c>
      <c r="G239" s="20">
        <f t="shared" si="4"/>
        <v>0.111384</v>
      </c>
    </row>
    <row r="240" spans="1:7" x14ac:dyDescent="0.5">
      <c r="A240" s="8">
        <v>239</v>
      </c>
      <c r="B240" s="40">
        <f>COUNTIF($B$1:B239, "&gt;0")+2001</f>
        <v>2239</v>
      </c>
      <c r="C240" s="32">
        <v>56</v>
      </c>
      <c r="D240" s="32">
        <v>51</v>
      </c>
      <c r="E240" s="32">
        <v>39</v>
      </c>
      <c r="F240" s="50">
        <v>33</v>
      </c>
      <c r="G240" s="20">
        <f t="shared" si="4"/>
        <v>0.111384</v>
      </c>
    </row>
    <row r="241" spans="1:7" x14ac:dyDescent="0.5">
      <c r="A241" s="8">
        <v>240</v>
      </c>
      <c r="B241" s="40">
        <f>COUNTIF($B$1:B240, "&gt;0")+2001</f>
        <v>2240</v>
      </c>
      <c r="C241" s="32">
        <v>56</v>
      </c>
      <c r="D241" s="32">
        <v>51</v>
      </c>
      <c r="E241" s="32">
        <v>39</v>
      </c>
      <c r="F241" s="50">
        <v>33</v>
      </c>
      <c r="G241" s="20">
        <f t="shared" si="4"/>
        <v>0.111384</v>
      </c>
    </row>
    <row r="242" spans="1:7" x14ac:dyDescent="0.5">
      <c r="A242" s="8">
        <v>241</v>
      </c>
      <c r="B242" s="40">
        <f>COUNTIF($B$1:B241, "&gt;0")+2001</f>
        <v>2241</v>
      </c>
      <c r="C242" s="32">
        <v>56</v>
      </c>
      <c r="D242" s="32">
        <v>51</v>
      </c>
      <c r="E242" s="32">
        <v>39</v>
      </c>
      <c r="F242" s="50">
        <v>33</v>
      </c>
      <c r="G242" s="20">
        <f t="shared" si="4"/>
        <v>0.111384</v>
      </c>
    </row>
    <row r="243" spans="1:7" x14ac:dyDescent="0.5">
      <c r="A243" s="8">
        <v>242</v>
      </c>
      <c r="B243" s="40">
        <f>COUNTIF($B$1:B242, "&gt;0")+2001</f>
        <v>2242</v>
      </c>
      <c r="C243" s="32">
        <v>56</v>
      </c>
      <c r="D243" s="32">
        <v>51</v>
      </c>
      <c r="E243" s="32">
        <v>39</v>
      </c>
      <c r="F243" s="50">
        <v>33</v>
      </c>
      <c r="G243" s="20">
        <f t="shared" si="4"/>
        <v>0.111384</v>
      </c>
    </row>
    <row r="244" spans="1:7" x14ac:dyDescent="0.5">
      <c r="A244" s="8">
        <v>243</v>
      </c>
      <c r="B244" s="40">
        <f>COUNTIF($B$1:B243, "&gt;0")+2001</f>
        <v>2243</v>
      </c>
      <c r="C244" s="32">
        <v>56</v>
      </c>
      <c r="D244" s="32">
        <v>51</v>
      </c>
      <c r="E244" s="32">
        <v>39</v>
      </c>
      <c r="F244" s="50">
        <v>33</v>
      </c>
      <c r="G244" s="20">
        <f t="shared" si="4"/>
        <v>0.111384</v>
      </c>
    </row>
    <row r="245" spans="1:7" x14ac:dyDescent="0.5">
      <c r="A245" s="8">
        <v>244</v>
      </c>
      <c r="B245" s="40">
        <f>COUNTIF($B$1:B244, "&gt;0")+2001</f>
        <v>2244</v>
      </c>
      <c r="C245" s="32">
        <v>56</v>
      </c>
      <c r="D245" s="32">
        <v>51</v>
      </c>
      <c r="E245" s="32">
        <v>39</v>
      </c>
      <c r="F245" s="50">
        <v>33</v>
      </c>
      <c r="G245" s="20">
        <f t="shared" si="4"/>
        <v>0.111384</v>
      </c>
    </row>
    <row r="246" spans="1:7" x14ac:dyDescent="0.5">
      <c r="A246" s="8">
        <v>245</v>
      </c>
      <c r="B246" s="40">
        <f>COUNTIF($B$1:B245, "&gt;0")+2001</f>
        <v>2245</v>
      </c>
      <c r="C246" s="32">
        <v>56</v>
      </c>
      <c r="D246" s="32">
        <v>51</v>
      </c>
      <c r="E246" s="32">
        <v>39</v>
      </c>
      <c r="F246" s="50">
        <v>33</v>
      </c>
      <c r="G246" s="20">
        <f t="shared" si="4"/>
        <v>0.111384</v>
      </c>
    </row>
    <row r="247" spans="1:7" x14ac:dyDescent="0.5">
      <c r="A247" s="8">
        <v>246</v>
      </c>
      <c r="B247" s="40">
        <f>COUNTIF($B$1:B246, "&gt;0")+2001</f>
        <v>2246</v>
      </c>
      <c r="C247" s="32">
        <v>56</v>
      </c>
      <c r="D247" s="32">
        <v>51</v>
      </c>
      <c r="E247" s="32">
        <v>39</v>
      </c>
      <c r="F247" s="50">
        <v>33</v>
      </c>
      <c r="G247" s="20">
        <f t="shared" si="4"/>
        <v>0.111384</v>
      </c>
    </row>
    <row r="248" spans="1:7" x14ac:dyDescent="0.5">
      <c r="A248" s="8">
        <v>247</v>
      </c>
      <c r="B248" s="40">
        <f>COUNTIF($B$1:B247, "&gt;0")+2001</f>
        <v>2247</v>
      </c>
      <c r="C248" s="32">
        <v>56</v>
      </c>
      <c r="D248" s="32">
        <v>51</v>
      </c>
      <c r="E248" s="32">
        <v>39</v>
      </c>
      <c r="F248" s="50">
        <v>33</v>
      </c>
      <c r="G248" s="20">
        <f t="shared" si="4"/>
        <v>0.111384</v>
      </c>
    </row>
    <row r="249" spans="1:7" x14ac:dyDescent="0.5">
      <c r="A249" s="8">
        <v>248</v>
      </c>
      <c r="B249" s="40">
        <f>COUNTIF($B$1:B248, "&gt;0")+2001</f>
        <v>2248</v>
      </c>
      <c r="C249" s="32">
        <v>56</v>
      </c>
      <c r="D249" s="32">
        <v>51</v>
      </c>
      <c r="E249" s="32">
        <v>39</v>
      </c>
      <c r="F249" s="50">
        <v>33</v>
      </c>
      <c r="G249" s="20">
        <f t="shared" si="4"/>
        <v>0.111384</v>
      </c>
    </row>
    <row r="250" spans="1:7" x14ac:dyDescent="0.5">
      <c r="A250" s="8">
        <v>249</v>
      </c>
      <c r="B250" s="40">
        <f>COUNTIF($B$1:B249, "&gt;0")+2001</f>
        <v>2249</v>
      </c>
      <c r="C250" s="32">
        <v>56</v>
      </c>
      <c r="D250" s="32">
        <v>51</v>
      </c>
      <c r="E250" s="32">
        <v>39</v>
      </c>
      <c r="F250" s="50">
        <v>33</v>
      </c>
      <c r="G250" s="20">
        <f t="shared" ref="G250:G312" si="5">PRODUCT(C250:E250)/1000000</f>
        <v>0.111384</v>
      </c>
    </row>
    <row r="251" spans="1:7" x14ac:dyDescent="0.5">
      <c r="A251" s="8">
        <v>250</v>
      </c>
      <c r="B251" s="40">
        <f>COUNTIF($B$1:B250, "&gt;0")+2001</f>
        <v>2250</v>
      </c>
      <c r="C251" s="32">
        <v>56</v>
      </c>
      <c r="D251" s="32">
        <v>51</v>
      </c>
      <c r="E251" s="32">
        <v>39</v>
      </c>
      <c r="F251" s="50">
        <v>33</v>
      </c>
      <c r="G251" s="20">
        <f t="shared" si="5"/>
        <v>0.111384</v>
      </c>
    </row>
    <row r="252" spans="1:7" x14ac:dyDescent="0.5">
      <c r="A252" s="8">
        <v>251</v>
      </c>
      <c r="B252" s="40">
        <f>COUNTIF($B$1:B251, "&gt;0")+2001</f>
        <v>2251</v>
      </c>
      <c r="C252" s="32">
        <v>56</v>
      </c>
      <c r="D252" s="32">
        <v>51</v>
      </c>
      <c r="E252" s="32">
        <v>39</v>
      </c>
      <c r="F252" s="50">
        <v>33</v>
      </c>
      <c r="G252" s="20">
        <f t="shared" si="5"/>
        <v>0.111384</v>
      </c>
    </row>
    <row r="253" spans="1:7" x14ac:dyDescent="0.5">
      <c r="A253" s="8">
        <v>252</v>
      </c>
      <c r="B253" s="40">
        <f>COUNTIF($B$1:B252, "&gt;0")+2001</f>
        <v>2252</v>
      </c>
      <c r="C253" s="32">
        <v>56</v>
      </c>
      <c r="D253" s="32">
        <v>51</v>
      </c>
      <c r="E253" s="32">
        <v>39</v>
      </c>
      <c r="F253" s="50">
        <v>33</v>
      </c>
      <c r="G253" s="20">
        <f t="shared" si="5"/>
        <v>0.111384</v>
      </c>
    </row>
    <row r="254" spans="1:7" x14ac:dyDescent="0.5">
      <c r="A254" s="8">
        <v>253</v>
      </c>
      <c r="B254" s="40">
        <f>COUNTIF($B$1:B253, "&gt;0")+2001</f>
        <v>2253</v>
      </c>
      <c r="C254" s="32">
        <v>87</v>
      </c>
      <c r="D254" s="32">
        <v>36</v>
      </c>
      <c r="E254" s="32">
        <v>34</v>
      </c>
      <c r="F254" s="50">
        <v>25</v>
      </c>
      <c r="G254" s="20">
        <f t="shared" si="5"/>
        <v>0.106488</v>
      </c>
    </row>
    <row r="255" spans="1:7" x14ac:dyDescent="0.5">
      <c r="A255" s="8">
        <v>254</v>
      </c>
      <c r="B255" s="40">
        <f>COUNTIF($B$1:B254, "&gt;0")+2001</f>
        <v>2254</v>
      </c>
      <c r="C255" s="32">
        <v>87</v>
      </c>
      <c r="D255" s="32">
        <v>36</v>
      </c>
      <c r="E255" s="32">
        <v>34</v>
      </c>
      <c r="F255" s="50">
        <v>25</v>
      </c>
      <c r="G255" s="20">
        <f t="shared" si="5"/>
        <v>0.106488</v>
      </c>
    </row>
    <row r="256" spans="1:7" x14ac:dyDescent="0.5">
      <c r="A256" s="8">
        <v>255</v>
      </c>
      <c r="B256" s="40">
        <f>COUNTIF($B$1:B255, "&gt;0")+2001</f>
        <v>2255</v>
      </c>
      <c r="C256" s="32">
        <v>87</v>
      </c>
      <c r="D256" s="32">
        <v>36</v>
      </c>
      <c r="E256" s="32">
        <v>34</v>
      </c>
      <c r="F256" s="50">
        <v>25</v>
      </c>
      <c r="G256" s="20">
        <f t="shared" si="5"/>
        <v>0.106488</v>
      </c>
    </row>
    <row r="257" spans="1:7" x14ac:dyDescent="0.5">
      <c r="A257" s="8">
        <v>256</v>
      </c>
      <c r="B257" s="40">
        <f>COUNTIF($B$1:B256, "&gt;0")+2001</f>
        <v>2256</v>
      </c>
      <c r="C257" s="32">
        <v>87</v>
      </c>
      <c r="D257" s="32">
        <v>36</v>
      </c>
      <c r="E257" s="32">
        <v>34</v>
      </c>
      <c r="F257" s="50">
        <v>25</v>
      </c>
      <c r="G257" s="20">
        <f t="shared" si="5"/>
        <v>0.106488</v>
      </c>
    </row>
    <row r="258" spans="1:7" x14ac:dyDescent="0.5">
      <c r="A258" s="8">
        <v>257</v>
      </c>
      <c r="B258" s="40">
        <f>COUNTIF($B$1:B257, "&gt;0")+2001</f>
        <v>2257</v>
      </c>
      <c r="C258" s="32">
        <v>87</v>
      </c>
      <c r="D258" s="32">
        <v>36</v>
      </c>
      <c r="E258" s="32">
        <v>34</v>
      </c>
      <c r="F258" s="50">
        <v>25</v>
      </c>
      <c r="G258" s="20">
        <f t="shared" si="5"/>
        <v>0.106488</v>
      </c>
    </row>
    <row r="259" spans="1:7" x14ac:dyDescent="0.5">
      <c r="A259" s="8">
        <v>258</v>
      </c>
      <c r="B259" s="40">
        <f>COUNTIF($B$1:B258, "&gt;0")+2001</f>
        <v>2258</v>
      </c>
      <c r="C259" s="32">
        <v>87</v>
      </c>
      <c r="D259" s="32">
        <v>36</v>
      </c>
      <c r="E259" s="32">
        <v>34</v>
      </c>
      <c r="F259" s="50">
        <v>25</v>
      </c>
      <c r="G259" s="20">
        <f t="shared" si="5"/>
        <v>0.106488</v>
      </c>
    </row>
    <row r="260" spans="1:7" x14ac:dyDescent="0.5">
      <c r="A260" s="8">
        <v>259</v>
      </c>
      <c r="B260" s="40">
        <f>COUNTIF($B$1:B259, "&gt;0")+2001</f>
        <v>2259</v>
      </c>
      <c r="C260" s="32">
        <v>87</v>
      </c>
      <c r="D260" s="32">
        <v>36</v>
      </c>
      <c r="E260" s="32">
        <v>34</v>
      </c>
      <c r="F260" s="50">
        <v>25</v>
      </c>
      <c r="G260" s="20">
        <f t="shared" si="5"/>
        <v>0.106488</v>
      </c>
    </row>
    <row r="261" spans="1:7" x14ac:dyDescent="0.5">
      <c r="A261" s="8">
        <v>260</v>
      </c>
      <c r="B261" s="40">
        <f>COUNTIF($B$1:B260, "&gt;0")+2001</f>
        <v>2260</v>
      </c>
      <c r="C261" s="32">
        <v>87</v>
      </c>
      <c r="D261" s="32">
        <v>36</v>
      </c>
      <c r="E261" s="32">
        <v>34</v>
      </c>
      <c r="F261" s="50">
        <v>25</v>
      </c>
      <c r="G261" s="20">
        <f t="shared" si="5"/>
        <v>0.106488</v>
      </c>
    </row>
    <row r="262" spans="1:7" x14ac:dyDescent="0.5">
      <c r="A262" s="8">
        <v>261</v>
      </c>
      <c r="B262" s="40">
        <f>COUNTIF($B$1:B261, "&gt;0")+2001</f>
        <v>2261</v>
      </c>
      <c r="C262" s="32">
        <v>87</v>
      </c>
      <c r="D262" s="32">
        <v>36</v>
      </c>
      <c r="E262" s="32">
        <v>34</v>
      </c>
      <c r="F262" s="50">
        <v>25</v>
      </c>
      <c r="G262" s="20">
        <f t="shared" si="5"/>
        <v>0.106488</v>
      </c>
    </row>
    <row r="263" spans="1:7" x14ac:dyDescent="0.5">
      <c r="A263" s="8">
        <v>262</v>
      </c>
      <c r="B263" s="40">
        <f>COUNTIF($B$1:B262, "&gt;0")+2001</f>
        <v>2262</v>
      </c>
      <c r="C263" s="32">
        <v>87</v>
      </c>
      <c r="D263" s="32">
        <v>36</v>
      </c>
      <c r="E263" s="32">
        <v>34</v>
      </c>
      <c r="F263" s="50">
        <v>25</v>
      </c>
      <c r="G263" s="20">
        <f t="shared" si="5"/>
        <v>0.106488</v>
      </c>
    </row>
    <row r="264" spans="1:7" x14ac:dyDescent="0.5">
      <c r="A264" s="8">
        <v>263</v>
      </c>
      <c r="B264" s="40">
        <f>COUNTIF($B$1:B263, "&gt;0")+2001</f>
        <v>2263</v>
      </c>
      <c r="C264" s="32">
        <v>87</v>
      </c>
      <c r="D264" s="32">
        <v>36</v>
      </c>
      <c r="E264" s="32">
        <v>34</v>
      </c>
      <c r="F264" s="50">
        <v>25</v>
      </c>
      <c r="G264" s="20">
        <f t="shared" si="5"/>
        <v>0.106488</v>
      </c>
    </row>
    <row r="265" spans="1:7" x14ac:dyDescent="0.5">
      <c r="A265" s="8">
        <v>264</v>
      </c>
      <c r="B265" s="40">
        <f>COUNTIF($B$1:B264, "&gt;0")+2001</f>
        <v>2264</v>
      </c>
      <c r="C265" s="32">
        <v>87</v>
      </c>
      <c r="D265" s="32">
        <v>36</v>
      </c>
      <c r="E265" s="32">
        <v>34</v>
      </c>
      <c r="F265" s="50">
        <v>25</v>
      </c>
      <c r="G265" s="20">
        <f t="shared" si="5"/>
        <v>0.106488</v>
      </c>
    </row>
    <row r="266" spans="1:7" x14ac:dyDescent="0.5">
      <c r="A266" s="8">
        <v>265</v>
      </c>
      <c r="B266" s="40">
        <f>COUNTIF($B$1:B265, "&gt;0")+2001</f>
        <v>2265</v>
      </c>
      <c r="C266" s="32">
        <v>87</v>
      </c>
      <c r="D266" s="32">
        <v>36</v>
      </c>
      <c r="E266" s="32">
        <v>34</v>
      </c>
      <c r="F266" s="50">
        <v>25</v>
      </c>
      <c r="G266" s="20">
        <f t="shared" si="5"/>
        <v>0.106488</v>
      </c>
    </row>
    <row r="267" spans="1:7" x14ac:dyDescent="0.5">
      <c r="A267" s="8">
        <v>266</v>
      </c>
      <c r="B267" s="40">
        <f>COUNTIF($B$1:B266, "&gt;0")+2001</f>
        <v>2266</v>
      </c>
      <c r="C267" s="32">
        <v>87</v>
      </c>
      <c r="D267" s="32">
        <v>36</v>
      </c>
      <c r="E267" s="32">
        <v>34</v>
      </c>
      <c r="F267" s="50">
        <v>25</v>
      </c>
      <c r="G267" s="20">
        <f t="shared" si="5"/>
        <v>0.106488</v>
      </c>
    </row>
    <row r="268" spans="1:7" x14ac:dyDescent="0.5">
      <c r="A268" s="8">
        <v>267</v>
      </c>
      <c r="B268" s="40">
        <f>COUNTIF($B$1:B267, "&gt;0")+2001</f>
        <v>2267</v>
      </c>
      <c r="C268" s="32">
        <v>87</v>
      </c>
      <c r="D268" s="32">
        <v>36</v>
      </c>
      <c r="E268" s="32">
        <v>34</v>
      </c>
      <c r="F268" s="50">
        <v>25</v>
      </c>
      <c r="G268" s="20">
        <f t="shared" si="5"/>
        <v>0.106488</v>
      </c>
    </row>
    <row r="269" spans="1:7" x14ac:dyDescent="0.5">
      <c r="A269" s="8">
        <v>268</v>
      </c>
      <c r="B269" s="40">
        <f>COUNTIF($B$1:B268, "&gt;0")+2001</f>
        <v>2268</v>
      </c>
      <c r="C269" s="23">
        <v>114</v>
      </c>
      <c r="D269" s="23">
        <v>44</v>
      </c>
      <c r="E269" s="23">
        <v>40</v>
      </c>
      <c r="F269" s="24">
        <v>35</v>
      </c>
      <c r="G269" s="20">
        <f t="shared" si="5"/>
        <v>0.20064000000000001</v>
      </c>
    </row>
    <row r="270" spans="1:7" x14ac:dyDescent="0.5">
      <c r="A270" s="8">
        <v>269</v>
      </c>
      <c r="B270" s="40">
        <f>COUNTIF($B$1:B269, "&gt;0")+2001</f>
        <v>2269</v>
      </c>
      <c r="C270" s="23">
        <v>114</v>
      </c>
      <c r="D270" s="23">
        <v>44</v>
      </c>
      <c r="E270" s="23">
        <v>40</v>
      </c>
      <c r="F270" s="24">
        <v>35</v>
      </c>
      <c r="G270" s="20">
        <f t="shared" si="5"/>
        <v>0.20064000000000001</v>
      </c>
    </row>
    <row r="271" spans="1:7" x14ac:dyDescent="0.5">
      <c r="A271" s="8">
        <v>270</v>
      </c>
      <c r="B271" s="40">
        <f>COUNTIF($B$1:B270, "&gt;0")+2001</f>
        <v>2270</v>
      </c>
      <c r="C271" s="23">
        <v>114</v>
      </c>
      <c r="D271" s="23">
        <v>44</v>
      </c>
      <c r="E271" s="23">
        <v>40</v>
      </c>
      <c r="F271" s="24">
        <v>35</v>
      </c>
      <c r="G271" s="20">
        <f t="shared" si="5"/>
        <v>0.20064000000000001</v>
      </c>
    </row>
    <row r="272" spans="1:7" x14ac:dyDescent="0.5">
      <c r="A272" s="8">
        <v>271</v>
      </c>
      <c r="B272" s="40">
        <f>COUNTIF($B$1:B271, "&gt;0")+2001</f>
        <v>2271</v>
      </c>
      <c r="C272" s="17">
        <v>101</v>
      </c>
      <c r="D272" s="17">
        <v>34</v>
      </c>
      <c r="E272" s="17">
        <v>36</v>
      </c>
      <c r="F272" s="31">
        <v>20</v>
      </c>
      <c r="G272" s="20">
        <f t="shared" si="5"/>
        <v>0.123624</v>
      </c>
    </row>
    <row r="273" spans="1:7" x14ac:dyDescent="0.5">
      <c r="A273" s="8">
        <v>272</v>
      </c>
      <c r="B273" s="40">
        <f>COUNTIF($B$1:B272, "&gt;0")+2001</f>
        <v>2272</v>
      </c>
      <c r="C273" s="17">
        <v>101</v>
      </c>
      <c r="D273" s="17">
        <v>34</v>
      </c>
      <c r="E273" s="17">
        <v>36</v>
      </c>
      <c r="F273" s="31">
        <v>20</v>
      </c>
      <c r="G273" s="20">
        <f t="shared" si="5"/>
        <v>0.123624</v>
      </c>
    </row>
    <row r="274" spans="1:7" x14ac:dyDescent="0.5">
      <c r="A274" s="8">
        <v>273</v>
      </c>
      <c r="B274" s="40">
        <f>COUNTIF($B$1:B273, "&gt;0")+2001</f>
        <v>2273</v>
      </c>
      <c r="C274" s="17">
        <v>101</v>
      </c>
      <c r="D274" s="17">
        <v>34</v>
      </c>
      <c r="E274" s="17">
        <v>36</v>
      </c>
      <c r="F274" s="31">
        <v>20</v>
      </c>
      <c r="G274" s="20">
        <f t="shared" si="5"/>
        <v>0.123624</v>
      </c>
    </row>
    <row r="275" spans="1:7" x14ac:dyDescent="0.5">
      <c r="A275" s="8">
        <v>274</v>
      </c>
      <c r="B275" s="40">
        <f>COUNTIF($B$1:B274, "&gt;0")+2001</f>
        <v>2274</v>
      </c>
      <c r="C275" s="32">
        <v>72</v>
      </c>
      <c r="D275" s="32">
        <v>32</v>
      </c>
      <c r="E275" s="32">
        <v>38</v>
      </c>
      <c r="F275" s="50">
        <v>18</v>
      </c>
      <c r="G275" s="20">
        <f t="shared" si="5"/>
        <v>8.7552000000000005E-2</v>
      </c>
    </row>
    <row r="276" spans="1:7" x14ac:dyDescent="0.5">
      <c r="A276" s="8">
        <v>275</v>
      </c>
      <c r="B276" s="40">
        <f>COUNTIF($B$1:B275, "&gt;0")+2001</f>
        <v>2275</v>
      </c>
      <c r="C276" s="32">
        <v>72</v>
      </c>
      <c r="D276" s="32">
        <v>32</v>
      </c>
      <c r="E276" s="32">
        <v>38</v>
      </c>
      <c r="F276" s="50">
        <v>18</v>
      </c>
      <c r="G276" s="20">
        <f t="shared" si="5"/>
        <v>8.7552000000000005E-2</v>
      </c>
    </row>
    <row r="277" spans="1:7" x14ac:dyDescent="0.5">
      <c r="A277" s="8">
        <v>276</v>
      </c>
      <c r="B277" s="40">
        <f>COUNTIF($B$1:B276, "&gt;0")+2001</f>
        <v>2276</v>
      </c>
      <c r="C277" s="32">
        <v>72</v>
      </c>
      <c r="D277" s="32">
        <v>32</v>
      </c>
      <c r="E277" s="32">
        <v>38</v>
      </c>
      <c r="F277" s="50">
        <v>18</v>
      </c>
      <c r="G277" s="20">
        <f t="shared" si="5"/>
        <v>8.7552000000000005E-2</v>
      </c>
    </row>
    <row r="278" spans="1:7" x14ac:dyDescent="0.5">
      <c r="A278" s="8">
        <v>277</v>
      </c>
      <c r="B278" s="40">
        <f>COUNTIF($B$1:B277, "&gt;0")+2001</f>
        <v>2277</v>
      </c>
      <c r="C278" s="32">
        <v>72</v>
      </c>
      <c r="D278" s="32">
        <v>32</v>
      </c>
      <c r="E278" s="32">
        <v>38</v>
      </c>
      <c r="F278" s="50">
        <v>18</v>
      </c>
      <c r="G278" s="20">
        <f t="shared" si="5"/>
        <v>8.7552000000000005E-2</v>
      </c>
    </row>
    <row r="279" spans="1:7" x14ac:dyDescent="0.5">
      <c r="A279" s="8">
        <v>278</v>
      </c>
      <c r="B279" s="40">
        <f>COUNTIF($B$1:B278, "&gt;0")+2001</f>
        <v>2278</v>
      </c>
      <c r="C279" s="21">
        <v>170</v>
      </c>
      <c r="D279" s="21">
        <v>109</v>
      </c>
      <c r="E279" s="21">
        <v>67</v>
      </c>
      <c r="F279" s="21">
        <v>222</v>
      </c>
      <c r="G279" s="16">
        <f t="shared" si="5"/>
        <v>1.2415099999999999</v>
      </c>
    </row>
    <row r="280" spans="1:7" x14ac:dyDescent="0.5">
      <c r="A280" s="8">
        <v>279</v>
      </c>
      <c r="B280" s="40">
        <f>COUNTIF($B$1:B279, "&gt;0")+2001</f>
        <v>2279</v>
      </c>
      <c r="C280" s="21">
        <v>170</v>
      </c>
      <c r="D280" s="21">
        <v>109</v>
      </c>
      <c r="E280" s="21">
        <v>67</v>
      </c>
      <c r="F280" s="21">
        <v>222</v>
      </c>
      <c r="G280" s="16">
        <f t="shared" si="5"/>
        <v>1.2415099999999999</v>
      </c>
    </row>
    <row r="281" spans="1:7" x14ac:dyDescent="0.5">
      <c r="A281" s="8">
        <v>280</v>
      </c>
      <c r="B281" s="40">
        <f>COUNTIF($B$1:B280, "&gt;0")+2001</f>
        <v>2280</v>
      </c>
      <c r="C281" s="21">
        <v>170</v>
      </c>
      <c r="D281" s="21">
        <v>109</v>
      </c>
      <c r="E281" s="21">
        <v>67</v>
      </c>
      <c r="F281" s="21">
        <v>222</v>
      </c>
      <c r="G281" s="16">
        <f t="shared" si="5"/>
        <v>1.2415099999999999</v>
      </c>
    </row>
    <row r="282" spans="1:7" x14ac:dyDescent="0.5">
      <c r="A282" s="8">
        <v>281</v>
      </c>
      <c r="B282" s="40">
        <f>COUNTIF($B$1:B281, "&gt;0")+2001</f>
        <v>2281</v>
      </c>
      <c r="C282" s="21">
        <v>170</v>
      </c>
      <c r="D282" s="21">
        <v>109</v>
      </c>
      <c r="E282" s="21">
        <v>67</v>
      </c>
      <c r="F282" s="21">
        <v>222</v>
      </c>
      <c r="G282" s="16">
        <f t="shared" si="5"/>
        <v>1.2415099999999999</v>
      </c>
    </row>
    <row r="283" spans="1:7" x14ac:dyDescent="0.5">
      <c r="A283" s="8">
        <v>282</v>
      </c>
      <c r="B283" s="40">
        <f>COUNTIF($B$1:B282, "&gt;0")+2001</f>
        <v>2282</v>
      </c>
      <c r="C283" s="21">
        <v>170</v>
      </c>
      <c r="D283" s="21">
        <v>109</v>
      </c>
      <c r="E283" s="21">
        <v>67</v>
      </c>
      <c r="F283" s="21">
        <v>222</v>
      </c>
      <c r="G283" s="16">
        <f t="shared" si="5"/>
        <v>1.2415099999999999</v>
      </c>
    </row>
    <row r="284" spans="1:7" x14ac:dyDescent="0.5">
      <c r="A284" s="8">
        <v>283</v>
      </c>
      <c r="B284" s="40">
        <f>COUNTIF($B$1:B283, "&gt;0")+2001</f>
        <v>2283</v>
      </c>
      <c r="C284" s="18">
        <v>49</v>
      </c>
      <c r="D284" s="18">
        <v>31</v>
      </c>
      <c r="E284" s="18">
        <v>26</v>
      </c>
      <c r="F284" s="51">
        <v>5</v>
      </c>
      <c r="G284" s="20">
        <f t="shared" si="5"/>
        <v>3.9494000000000001E-2</v>
      </c>
    </row>
    <row r="285" spans="1:7" x14ac:dyDescent="0.5">
      <c r="A285" s="8">
        <v>284</v>
      </c>
      <c r="B285" s="40">
        <f>COUNTIF($B$1:B284, "&gt;0")+2001</f>
        <v>2284</v>
      </c>
      <c r="C285" s="18">
        <v>170</v>
      </c>
      <c r="D285" s="18">
        <v>109</v>
      </c>
      <c r="E285" s="18">
        <v>67</v>
      </c>
      <c r="F285" s="51">
        <v>125</v>
      </c>
      <c r="G285" s="20">
        <f t="shared" si="5"/>
        <v>1.2415099999999999</v>
      </c>
    </row>
    <row r="286" spans="1:7" x14ac:dyDescent="0.5">
      <c r="A286" s="8">
        <v>285</v>
      </c>
      <c r="B286" s="40">
        <f>COUNTIF($B$1:B285, "&gt;0")+2001</f>
        <v>2285</v>
      </c>
      <c r="C286" s="9">
        <v>91</v>
      </c>
      <c r="D286" s="9">
        <v>60</v>
      </c>
      <c r="E286" s="9">
        <v>37</v>
      </c>
      <c r="F286" s="43">
        <v>53</v>
      </c>
      <c r="G286" s="20">
        <f t="shared" si="5"/>
        <v>0.20202000000000001</v>
      </c>
    </row>
    <row r="287" spans="1:7" x14ac:dyDescent="0.5">
      <c r="A287" s="8">
        <v>286</v>
      </c>
      <c r="B287" s="40">
        <f>COUNTIF($B$1:B286, "&gt;0")+2001</f>
        <v>2286</v>
      </c>
      <c r="C287" s="9">
        <v>91</v>
      </c>
      <c r="D287" s="9">
        <v>60</v>
      </c>
      <c r="E287" s="9">
        <v>37</v>
      </c>
      <c r="F287" s="43">
        <v>53</v>
      </c>
      <c r="G287" s="20">
        <f t="shared" si="5"/>
        <v>0.20202000000000001</v>
      </c>
    </row>
    <row r="288" spans="1:7" x14ac:dyDescent="0.5">
      <c r="A288" s="8">
        <v>287</v>
      </c>
      <c r="B288" s="40">
        <f>COUNTIF($B$1:B287, "&gt;0")+2001</f>
        <v>2287</v>
      </c>
      <c r="C288" s="9">
        <v>91</v>
      </c>
      <c r="D288" s="9">
        <v>60</v>
      </c>
      <c r="E288" s="9">
        <v>37</v>
      </c>
      <c r="F288" s="43">
        <v>53</v>
      </c>
      <c r="G288" s="20">
        <f t="shared" si="5"/>
        <v>0.20202000000000001</v>
      </c>
    </row>
    <row r="289" spans="1:7" x14ac:dyDescent="0.5">
      <c r="A289" s="8">
        <v>288</v>
      </c>
      <c r="B289" s="40">
        <f>COUNTIF($B$1:B288, "&gt;0")+2001</f>
        <v>2288</v>
      </c>
      <c r="C289" s="9">
        <v>91</v>
      </c>
      <c r="D289" s="9">
        <v>60</v>
      </c>
      <c r="E289" s="9">
        <v>37</v>
      </c>
      <c r="F289" s="43">
        <v>53</v>
      </c>
      <c r="G289" s="20">
        <f t="shared" si="5"/>
        <v>0.20202000000000001</v>
      </c>
    </row>
    <row r="290" spans="1:7" x14ac:dyDescent="0.5">
      <c r="A290" s="8">
        <v>289</v>
      </c>
      <c r="B290" s="40">
        <f>COUNTIF($B$1:B289, "&gt;0")+2001</f>
        <v>2289</v>
      </c>
      <c r="C290" s="9">
        <v>91</v>
      </c>
      <c r="D290" s="9">
        <v>60</v>
      </c>
      <c r="E290" s="9">
        <v>37</v>
      </c>
      <c r="F290" s="43">
        <v>53</v>
      </c>
      <c r="G290" s="20">
        <f t="shared" si="5"/>
        <v>0.20202000000000001</v>
      </c>
    </row>
    <row r="291" spans="1:7" x14ac:dyDescent="0.5">
      <c r="A291" s="8">
        <v>290</v>
      </c>
      <c r="B291" s="40">
        <f>COUNTIF($B$1:B290, "&gt;0")+2001</f>
        <v>2290</v>
      </c>
      <c r="C291" s="17">
        <v>37</v>
      </c>
      <c r="D291" s="17">
        <v>32</v>
      </c>
      <c r="E291" s="17">
        <v>20</v>
      </c>
      <c r="F291" s="31">
        <v>5</v>
      </c>
      <c r="G291" s="20">
        <f t="shared" si="5"/>
        <v>2.368E-2</v>
      </c>
    </row>
    <row r="292" spans="1:7" x14ac:dyDescent="0.5">
      <c r="A292" s="8">
        <v>291</v>
      </c>
      <c r="B292" s="40">
        <f>COUNTIF($B$1:B291, "&gt;0")+2001</f>
        <v>2291</v>
      </c>
      <c r="C292" s="17">
        <v>37</v>
      </c>
      <c r="D292" s="17">
        <v>32</v>
      </c>
      <c r="E292" s="17">
        <v>20</v>
      </c>
      <c r="F292" s="31">
        <v>5</v>
      </c>
      <c r="G292" s="20">
        <f t="shared" si="5"/>
        <v>2.368E-2</v>
      </c>
    </row>
    <row r="293" spans="1:7" x14ac:dyDescent="0.5">
      <c r="A293" s="8">
        <v>292</v>
      </c>
      <c r="B293" s="40">
        <f>COUNTIF($B$1:B292, "&gt;0")+2001</f>
        <v>2292</v>
      </c>
      <c r="C293" s="17">
        <v>37</v>
      </c>
      <c r="D293" s="17">
        <v>32</v>
      </c>
      <c r="E293" s="17">
        <v>20</v>
      </c>
      <c r="F293" s="31">
        <v>5</v>
      </c>
      <c r="G293" s="20">
        <f t="shared" si="5"/>
        <v>2.368E-2</v>
      </c>
    </row>
    <row r="294" spans="1:7" x14ac:dyDescent="0.5">
      <c r="A294" s="8">
        <v>293</v>
      </c>
      <c r="B294" s="40">
        <f>COUNTIF($B$1:B293, "&gt;0")+2001</f>
        <v>2293</v>
      </c>
      <c r="C294" s="17">
        <v>37</v>
      </c>
      <c r="D294" s="17">
        <v>32</v>
      </c>
      <c r="E294" s="17">
        <v>20</v>
      </c>
      <c r="F294" s="31">
        <v>5</v>
      </c>
      <c r="G294" s="20">
        <f t="shared" si="5"/>
        <v>2.368E-2</v>
      </c>
    </row>
    <row r="295" spans="1:7" x14ac:dyDescent="0.5">
      <c r="A295" s="8">
        <v>294</v>
      </c>
      <c r="B295" s="40">
        <f>COUNTIF($B$1:B294, "&gt;0")+2001</f>
        <v>2294</v>
      </c>
      <c r="C295" s="17">
        <v>62</v>
      </c>
      <c r="D295" s="17">
        <v>44</v>
      </c>
      <c r="E295" s="17">
        <v>27</v>
      </c>
      <c r="F295" s="31">
        <v>17</v>
      </c>
      <c r="G295" s="20">
        <f t="shared" si="5"/>
        <v>7.3655999999999999E-2</v>
      </c>
    </row>
    <row r="296" spans="1:7" x14ac:dyDescent="0.5">
      <c r="A296" s="8">
        <v>295</v>
      </c>
      <c r="B296" s="40">
        <f>COUNTIF($B$1:B295, "&gt;0")+2001</f>
        <v>2295</v>
      </c>
      <c r="C296" s="17">
        <v>62</v>
      </c>
      <c r="D296" s="17">
        <v>44</v>
      </c>
      <c r="E296" s="17">
        <v>27</v>
      </c>
      <c r="F296" s="31">
        <v>17</v>
      </c>
      <c r="G296" s="20">
        <f t="shared" si="5"/>
        <v>7.3655999999999999E-2</v>
      </c>
    </row>
    <row r="297" spans="1:7" x14ac:dyDescent="0.5">
      <c r="A297" s="8">
        <v>296</v>
      </c>
      <c r="B297" s="40">
        <f>COUNTIF($B$1:B296, "&gt;0")+2001</f>
        <v>2296</v>
      </c>
      <c r="C297" s="17">
        <v>62</v>
      </c>
      <c r="D297" s="17">
        <v>44</v>
      </c>
      <c r="E297" s="17">
        <v>27</v>
      </c>
      <c r="F297" s="31">
        <v>17</v>
      </c>
      <c r="G297" s="20">
        <f t="shared" si="5"/>
        <v>7.3655999999999999E-2</v>
      </c>
    </row>
    <row r="298" spans="1:7" x14ac:dyDescent="0.5">
      <c r="A298" s="8">
        <v>297</v>
      </c>
      <c r="B298" s="40">
        <f>COUNTIF($B$1:B297, "&gt;0")+2001</f>
        <v>2297</v>
      </c>
      <c r="C298" s="17">
        <v>62</v>
      </c>
      <c r="D298" s="17">
        <v>44</v>
      </c>
      <c r="E298" s="17">
        <v>27</v>
      </c>
      <c r="F298" s="31">
        <v>17</v>
      </c>
      <c r="G298" s="20">
        <f t="shared" si="5"/>
        <v>7.3655999999999999E-2</v>
      </c>
    </row>
    <row r="299" spans="1:7" x14ac:dyDescent="0.5">
      <c r="A299" s="8">
        <v>298</v>
      </c>
      <c r="B299" s="40">
        <f>COUNTIF($B$1:B298, "&gt;0")+2001</f>
        <v>2298</v>
      </c>
      <c r="C299" s="17">
        <v>62</v>
      </c>
      <c r="D299" s="17">
        <v>44</v>
      </c>
      <c r="E299" s="17">
        <v>27</v>
      </c>
      <c r="F299" s="31">
        <v>17</v>
      </c>
      <c r="G299" s="20">
        <f t="shared" si="5"/>
        <v>7.3655999999999999E-2</v>
      </c>
    </row>
    <row r="300" spans="1:7" x14ac:dyDescent="0.5">
      <c r="A300" s="8">
        <v>299</v>
      </c>
      <c r="B300" s="40">
        <f>COUNTIF($B$1:B299, "&gt;0")+2001</f>
        <v>2299</v>
      </c>
      <c r="C300" s="32">
        <v>61</v>
      </c>
      <c r="D300" s="32">
        <v>35</v>
      </c>
      <c r="E300" s="32">
        <v>66</v>
      </c>
      <c r="F300" s="50">
        <v>35</v>
      </c>
      <c r="G300" s="20">
        <f t="shared" si="5"/>
        <v>0.14091000000000001</v>
      </c>
    </row>
    <row r="301" spans="1:7" x14ac:dyDescent="0.5">
      <c r="A301" s="8">
        <v>300</v>
      </c>
      <c r="B301" s="40">
        <f>COUNTIF($B$1:B300, "&gt;0")+2001</f>
        <v>2300</v>
      </c>
      <c r="C301" s="21">
        <v>59</v>
      </c>
      <c r="D301" s="21">
        <v>64</v>
      </c>
      <c r="E301" s="21">
        <v>48</v>
      </c>
      <c r="F301" s="27">
        <v>37</v>
      </c>
      <c r="G301" s="20">
        <f t="shared" si="5"/>
        <v>0.18124799999999999</v>
      </c>
    </row>
    <row r="302" spans="1:7" x14ac:dyDescent="0.5">
      <c r="A302" s="8">
        <v>301</v>
      </c>
      <c r="B302" s="40">
        <f>COUNTIF($B$1:B301, "&gt;0")+2001</f>
        <v>2301</v>
      </c>
      <c r="C302" s="21">
        <v>39</v>
      </c>
      <c r="D302" s="21">
        <v>65</v>
      </c>
      <c r="E302" s="21">
        <v>33</v>
      </c>
      <c r="F302" s="27">
        <v>29</v>
      </c>
      <c r="G302" s="20">
        <f t="shared" si="5"/>
        <v>8.3654999999999993E-2</v>
      </c>
    </row>
    <row r="303" spans="1:7" x14ac:dyDescent="0.5">
      <c r="A303" s="8">
        <v>302</v>
      </c>
      <c r="B303" s="40">
        <f>COUNTIF($B$1:B302, "&gt;0")+2001</f>
        <v>2302</v>
      </c>
      <c r="C303" s="21">
        <v>39</v>
      </c>
      <c r="D303" s="21">
        <v>65</v>
      </c>
      <c r="E303" s="21">
        <v>33</v>
      </c>
      <c r="F303" s="27">
        <v>29</v>
      </c>
      <c r="G303" s="20">
        <f t="shared" si="5"/>
        <v>8.3654999999999993E-2</v>
      </c>
    </row>
    <row r="304" spans="1:7" x14ac:dyDescent="0.5">
      <c r="A304" s="8">
        <v>303</v>
      </c>
      <c r="B304" s="40">
        <f>COUNTIF($B$1:B303, "&gt;0")+2001</f>
        <v>2303</v>
      </c>
      <c r="C304" s="9">
        <v>61</v>
      </c>
      <c r="D304" s="9">
        <v>50</v>
      </c>
      <c r="E304" s="9">
        <v>23</v>
      </c>
      <c r="F304" s="46">
        <v>20</v>
      </c>
      <c r="G304" s="20">
        <f t="shared" si="5"/>
        <v>7.0150000000000004E-2</v>
      </c>
    </row>
    <row r="305" spans="1:7" x14ac:dyDescent="0.5">
      <c r="A305" s="8">
        <v>304</v>
      </c>
      <c r="B305" s="40">
        <f>COUNTIF($B$1:B304, "&gt;0")+2001</f>
        <v>2304</v>
      </c>
      <c r="C305" s="9">
        <v>91</v>
      </c>
      <c r="D305" s="9">
        <v>99</v>
      </c>
      <c r="E305" s="9">
        <v>106</v>
      </c>
      <c r="F305" s="52">
        <v>65</v>
      </c>
      <c r="G305" s="20">
        <f t="shared" si="5"/>
        <v>0.95495399999999997</v>
      </c>
    </row>
    <row r="306" spans="1:7" x14ac:dyDescent="0.5">
      <c r="A306" s="8">
        <v>305</v>
      </c>
      <c r="B306" s="40">
        <f>COUNTIF($B$1:B305, "&gt;0")+2001</f>
        <v>2305</v>
      </c>
      <c r="C306" s="9">
        <v>91</v>
      </c>
      <c r="D306" s="9">
        <v>99</v>
      </c>
      <c r="E306" s="9">
        <v>106</v>
      </c>
      <c r="F306" s="52">
        <v>65</v>
      </c>
      <c r="G306" s="20">
        <f t="shared" si="5"/>
        <v>0.95495399999999997</v>
      </c>
    </row>
    <row r="307" spans="1:7" x14ac:dyDescent="0.5">
      <c r="A307" s="8">
        <v>306</v>
      </c>
      <c r="B307" s="40">
        <f>COUNTIF($B$1:B306, "&gt;0")+2001</f>
        <v>2306</v>
      </c>
      <c r="C307" s="23">
        <v>59</v>
      </c>
      <c r="D307" s="23">
        <v>14</v>
      </c>
      <c r="E307" s="23">
        <v>39</v>
      </c>
      <c r="F307" s="24">
        <v>6</v>
      </c>
      <c r="G307" s="20">
        <f t="shared" si="5"/>
        <v>3.2214E-2</v>
      </c>
    </row>
    <row r="308" spans="1:7" x14ac:dyDescent="0.5">
      <c r="A308" s="8">
        <v>307</v>
      </c>
      <c r="B308" s="40">
        <f>COUNTIF($B$1:B307, "&gt;0")+2001</f>
        <v>2307</v>
      </c>
      <c r="C308" s="44">
        <v>43</v>
      </c>
      <c r="D308" s="44">
        <v>34</v>
      </c>
      <c r="E308" s="44">
        <v>19</v>
      </c>
      <c r="F308" s="44">
        <v>5</v>
      </c>
      <c r="G308" s="20">
        <f t="shared" si="5"/>
        <v>2.7778000000000001E-2</v>
      </c>
    </row>
    <row r="309" spans="1:7" x14ac:dyDescent="0.5">
      <c r="A309" s="8">
        <v>308</v>
      </c>
      <c r="B309" s="9">
        <v>1</v>
      </c>
      <c r="C309" s="12">
        <v>80</v>
      </c>
      <c r="D309" s="12">
        <v>55</v>
      </c>
      <c r="E309" s="12">
        <v>40</v>
      </c>
      <c r="F309" s="28">
        <v>21</v>
      </c>
      <c r="G309" s="13">
        <f t="shared" si="5"/>
        <v>0.17599999999999999</v>
      </c>
    </row>
    <row r="310" spans="1:7" x14ac:dyDescent="0.5">
      <c r="A310" s="8">
        <v>309</v>
      </c>
      <c r="B310" s="9">
        <v>2</v>
      </c>
      <c r="C310" s="12">
        <v>55</v>
      </c>
      <c r="D310" s="12">
        <v>35</v>
      </c>
      <c r="E310" s="12">
        <v>25</v>
      </c>
      <c r="F310" s="28">
        <v>12</v>
      </c>
      <c r="G310" s="13">
        <f t="shared" si="5"/>
        <v>4.8125000000000001E-2</v>
      </c>
    </row>
    <row r="311" spans="1:7" x14ac:dyDescent="0.5">
      <c r="A311" s="8">
        <v>310</v>
      </c>
      <c r="B311" s="9">
        <v>3</v>
      </c>
      <c r="C311" s="12">
        <v>55</v>
      </c>
      <c r="D311" s="12">
        <v>40</v>
      </c>
      <c r="E311" s="12">
        <v>22</v>
      </c>
      <c r="F311" s="28">
        <v>14</v>
      </c>
      <c r="G311" s="13">
        <f t="shared" si="5"/>
        <v>4.8399999999999999E-2</v>
      </c>
    </row>
    <row r="312" spans="1:7" x14ac:dyDescent="0.5">
      <c r="A312" s="8">
        <v>311</v>
      </c>
      <c r="B312" s="9">
        <v>4</v>
      </c>
      <c r="C312" s="53">
        <v>50</v>
      </c>
      <c r="D312" s="53">
        <v>30</v>
      </c>
      <c r="E312" s="53">
        <v>42</v>
      </c>
      <c r="F312" s="53">
        <v>16</v>
      </c>
      <c r="G312" s="20">
        <f t="shared" si="5"/>
        <v>6.3E-2</v>
      </c>
    </row>
    <row r="313" spans="1:7" x14ac:dyDescent="0.5">
      <c r="A313" s="8">
        <v>312</v>
      </c>
      <c r="B313" s="9">
        <v>1</v>
      </c>
      <c r="C313" s="12">
        <v>68</v>
      </c>
      <c r="D313" s="12">
        <v>47</v>
      </c>
      <c r="E313" s="12">
        <v>32</v>
      </c>
      <c r="F313" s="12">
        <v>18</v>
      </c>
      <c r="G313" s="28">
        <v>0.10199999999999999</v>
      </c>
    </row>
    <row r="314" spans="1:7" x14ac:dyDescent="0.5">
      <c r="A314" s="8">
        <v>313</v>
      </c>
      <c r="B314" s="9">
        <v>2</v>
      </c>
      <c r="C314" s="21">
        <v>56</v>
      </c>
      <c r="D314" s="21">
        <v>19</v>
      </c>
      <c r="E314" s="21">
        <v>80</v>
      </c>
      <c r="F314" s="21">
        <v>17</v>
      </c>
      <c r="G314" s="20">
        <f t="shared" ref="G314:G321" si="6">PRODUCT(C314:E314)/1000000</f>
        <v>8.5120000000000001E-2</v>
      </c>
    </row>
    <row r="315" spans="1:7" x14ac:dyDescent="0.5">
      <c r="A315" s="8">
        <v>314</v>
      </c>
      <c r="B315" s="9">
        <v>1</v>
      </c>
      <c r="C315" s="12">
        <v>92</v>
      </c>
      <c r="D315" s="12">
        <v>49</v>
      </c>
      <c r="E315" s="12">
        <v>46</v>
      </c>
      <c r="F315" s="12">
        <v>46</v>
      </c>
      <c r="G315" s="13">
        <f t="shared" si="6"/>
        <v>0.207368</v>
      </c>
    </row>
    <row r="316" spans="1:7" x14ac:dyDescent="0.5">
      <c r="A316" s="8">
        <v>315</v>
      </c>
      <c r="B316" s="9">
        <v>2</v>
      </c>
      <c r="C316" s="12">
        <v>92</v>
      </c>
      <c r="D316" s="12">
        <v>49</v>
      </c>
      <c r="E316" s="12">
        <v>46</v>
      </c>
      <c r="F316" s="12">
        <v>46</v>
      </c>
      <c r="G316" s="13">
        <f t="shared" si="6"/>
        <v>0.207368</v>
      </c>
    </row>
    <row r="317" spans="1:7" x14ac:dyDescent="0.5">
      <c r="A317" s="8">
        <v>316</v>
      </c>
      <c r="B317" s="9">
        <v>3</v>
      </c>
      <c r="C317" s="12">
        <v>92</v>
      </c>
      <c r="D317" s="12">
        <v>49</v>
      </c>
      <c r="E317" s="12">
        <v>46</v>
      </c>
      <c r="F317" s="12">
        <v>46</v>
      </c>
      <c r="G317" s="13">
        <f t="shared" si="6"/>
        <v>0.207368</v>
      </c>
    </row>
    <row r="318" spans="1:7" x14ac:dyDescent="0.5">
      <c r="A318" s="8">
        <v>317</v>
      </c>
      <c r="B318" s="9">
        <v>4</v>
      </c>
      <c r="C318" s="12">
        <v>53</v>
      </c>
      <c r="D318" s="12">
        <v>33</v>
      </c>
      <c r="E318" s="12">
        <v>45</v>
      </c>
      <c r="F318" s="12">
        <v>14</v>
      </c>
      <c r="G318" s="13">
        <f t="shared" si="6"/>
        <v>7.8704999999999997E-2</v>
      </c>
    </row>
    <row r="319" spans="1:7" x14ac:dyDescent="0.5">
      <c r="A319" s="8">
        <v>318</v>
      </c>
      <c r="B319" s="9">
        <v>5</v>
      </c>
      <c r="C319" s="12">
        <v>53</v>
      </c>
      <c r="D319" s="12">
        <v>33</v>
      </c>
      <c r="E319" s="12">
        <v>45</v>
      </c>
      <c r="F319" s="12">
        <v>14</v>
      </c>
      <c r="G319" s="13">
        <f t="shared" si="6"/>
        <v>7.8704999999999997E-2</v>
      </c>
    </row>
    <row r="320" spans="1:7" ht="14.7" thickBot="1" x14ac:dyDescent="0.55000000000000004">
      <c r="A320" s="54">
        <v>319</v>
      </c>
      <c r="B320" s="55">
        <v>6</v>
      </c>
      <c r="C320" s="56">
        <v>53</v>
      </c>
      <c r="D320" s="56">
        <v>33</v>
      </c>
      <c r="E320" s="56">
        <v>45</v>
      </c>
      <c r="F320" s="56">
        <v>14</v>
      </c>
      <c r="G320" s="57">
        <f t="shared" si="6"/>
        <v>7.8704999999999997E-2</v>
      </c>
    </row>
    <row r="321" spans="1:8" s="1" customFormat="1" x14ac:dyDescent="0.5">
      <c r="A321" s="58">
        <v>320</v>
      </c>
      <c r="B321" s="59">
        <v>3001</v>
      </c>
      <c r="C321" s="60">
        <v>61</v>
      </c>
      <c r="D321" s="60">
        <v>47</v>
      </c>
      <c r="E321" s="60">
        <v>27</v>
      </c>
      <c r="F321" s="60">
        <v>16</v>
      </c>
      <c r="G321" s="61">
        <f t="shared" si="6"/>
        <v>7.7409000000000006E-2</v>
      </c>
      <c r="H321" s="3"/>
    </row>
    <row r="322" spans="1:8" s="1" customFormat="1" x14ac:dyDescent="0.5">
      <c r="A322" s="62">
        <v>321</v>
      </c>
      <c r="B322" s="63">
        <v>3002</v>
      </c>
      <c r="C322" s="64">
        <v>61</v>
      </c>
      <c r="D322" s="64">
        <v>47</v>
      </c>
      <c r="E322" s="64">
        <v>27</v>
      </c>
      <c r="F322" s="64">
        <v>16</v>
      </c>
      <c r="G322" s="65">
        <v>7.7409000000000006E-2</v>
      </c>
      <c r="H322" s="3"/>
    </row>
    <row r="323" spans="1:8" s="1" customFormat="1" x14ac:dyDescent="0.5">
      <c r="A323" s="62">
        <v>322</v>
      </c>
      <c r="B323" s="63">
        <v>3003</v>
      </c>
      <c r="C323" s="64">
        <v>61</v>
      </c>
      <c r="D323" s="64">
        <v>47</v>
      </c>
      <c r="E323" s="64">
        <v>27</v>
      </c>
      <c r="F323" s="64">
        <v>16</v>
      </c>
      <c r="G323" s="65">
        <v>7.7409000000000006E-2</v>
      </c>
      <c r="H323" s="3"/>
    </row>
    <row r="324" spans="1:8" s="1" customFormat="1" x14ac:dyDescent="0.5">
      <c r="A324" s="62">
        <v>323</v>
      </c>
      <c r="B324" s="63">
        <v>3004</v>
      </c>
      <c r="C324" s="63">
        <v>53</v>
      </c>
      <c r="D324" s="63">
        <v>43</v>
      </c>
      <c r="E324" s="63">
        <v>21</v>
      </c>
      <c r="F324" s="63">
        <v>28</v>
      </c>
      <c r="G324" s="65">
        <v>4.7858999999999999E-2</v>
      </c>
      <c r="H324" s="3"/>
    </row>
    <row r="325" spans="1:8" s="1" customFormat="1" x14ac:dyDescent="0.5">
      <c r="A325" s="62">
        <v>324</v>
      </c>
      <c r="B325" s="63">
        <v>3005</v>
      </c>
      <c r="C325" s="64">
        <v>63</v>
      </c>
      <c r="D325" s="64">
        <v>50</v>
      </c>
      <c r="E325" s="64">
        <v>25</v>
      </c>
      <c r="F325" s="64">
        <v>16</v>
      </c>
      <c r="G325" s="65">
        <v>7.8750000000000001E-2</v>
      </c>
      <c r="H325" s="3"/>
    </row>
    <row r="326" spans="1:8" s="1" customFormat="1" x14ac:dyDescent="0.5">
      <c r="A326" s="62">
        <v>325</v>
      </c>
      <c r="B326" s="63">
        <f>COUNTIF($B$1:B321, "&gt;0")+3001</f>
        <v>3321</v>
      </c>
      <c r="C326" s="64">
        <v>61</v>
      </c>
      <c r="D326" s="64">
        <v>47</v>
      </c>
      <c r="E326" s="64">
        <v>27</v>
      </c>
      <c r="F326" s="64">
        <v>16</v>
      </c>
      <c r="G326" s="65">
        <f>PRODUCT(C326:E326)/1000000</f>
        <v>7.7409000000000006E-2</v>
      </c>
      <c r="H326" s="3"/>
    </row>
    <row r="327" spans="1:8" s="1" customFormat="1" x14ac:dyDescent="0.5">
      <c r="A327" s="62">
        <v>326</v>
      </c>
      <c r="B327" s="63">
        <f>COUNTIF($B$1:B326, "&gt;0")+3001</f>
        <v>3326</v>
      </c>
      <c r="C327" s="64">
        <v>61</v>
      </c>
      <c r="D327" s="64">
        <v>47</v>
      </c>
      <c r="E327" s="64">
        <v>27</v>
      </c>
      <c r="F327" s="64">
        <v>16</v>
      </c>
      <c r="G327" s="65">
        <f>PRODUCT(C327:E327)/1000000</f>
        <v>7.7409000000000006E-2</v>
      </c>
      <c r="H327" s="3"/>
    </row>
    <row r="328" spans="1:8" s="2" customFormat="1" x14ac:dyDescent="0.4">
      <c r="A328" s="62">
        <v>327</v>
      </c>
      <c r="B328" s="63">
        <f>COUNTIF($B$1:B327, "&gt;0")+3001</f>
        <v>3327</v>
      </c>
      <c r="C328" s="63">
        <v>53</v>
      </c>
      <c r="D328" s="63">
        <v>43</v>
      </c>
      <c r="E328" s="63">
        <v>21</v>
      </c>
      <c r="F328" s="63">
        <v>28</v>
      </c>
      <c r="G328" s="65">
        <f>PRODUCT(C328:E328)/1000000</f>
        <v>4.7858999999999999E-2</v>
      </c>
    </row>
    <row r="329" spans="1:8" s="2" customFormat="1" x14ac:dyDescent="0.4">
      <c r="A329" s="62">
        <v>328</v>
      </c>
      <c r="B329" s="63">
        <f>COUNTIF($B$1:B328, "&gt;0")+3001</f>
        <v>3328</v>
      </c>
      <c r="C329" s="63">
        <v>63</v>
      </c>
      <c r="D329" s="63">
        <v>50</v>
      </c>
      <c r="E329" s="63">
        <v>25</v>
      </c>
      <c r="F329" s="63">
        <v>16</v>
      </c>
      <c r="G329" s="65">
        <f>PRODUCT(C329:E329)/1000000</f>
        <v>7.8750000000000001E-2</v>
      </c>
    </row>
    <row r="330" spans="1:8" x14ac:dyDescent="0.5">
      <c r="A330" s="62">
        <v>329</v>
      </c>
      <c r="B330" s="66">
        <v>1</v>
      </c>
      <c r="C330" s="67">
        <v>155</v>
      </c>
      <c r="D330" s="67">
        <v>96</v>
      </c>
      <c r="E330" s="68">
        <v>97</v>
      </c>
      <c r="F330" s="67">
        <v>368</v>
      </c>
      <c r="G330" s="65">
        <f>(C330*D330*E330)/1000000</f>
        <v>1.44336</v>
      </c>
    </row>
    <row r="331" spans="1:8" x14ac:dyDescent="0.5">
      <c r="A331" s="62">
        <v>330</v>
      </c>
      <c r="B331" s="66">
        <v>1</v>
      </c>
      <c r="C331" s="67">
        <v>155</v>
      </c>
      <c r="D331" s="67">
        <v>96</v>
      </c>
      <c r="E331" s="68">
        <v>97</v>
      </c>
      <c r="F331" s="67">
        <v>368</v>
      </c>
      <c r="G331" s="65">
        <f t="shared" ref="G331:G354" si="7">(C331*D331*E331)/1000000</f>
        <v>1.44336</v>
      </c>
    </row>
    <row r="332" spans="1:8" x14ac:dyDescent="0.5">
      <c r="A332" s="62">
        <v>331</v>
      </c>
      <c r="B332" s="66">
        <v>1</v>
      </c>
      <c r="C332" s="67">
        <v>155</v>
      </c>
      <c r="D332" s="67">
        <v>96</v>
      </c>
      <c r="E332" s="68">
        <v>97</v>
      </c>
      <c r="F332" s="67">
        <v>368</v>
      </c>
      <c r="G332" s="65">
        <f t="shared" si="7"/>
        <v>1.44336</v>
      </c>
    </row>
    <row r="333" spans="1:8" x14ac:dyDescent="0.5">
      <c r="A333" s="62">
        <v>332</v>
      </c>
      <c r="B333" s="66">
        <v>1</v>
      </c>
      <c r="C333" s="67">
        <v>155</v>
      </c>
      <c r="D333" s="67">
        <v>96</v>
      </c>
      <c r="E333" s="68">
        <v>97</v>
      </c>
      <c r="F333" s="67">
        <v>368</v>
      </c>
      <c r="G333" s="65">
        <f t="shared" si="7"/>
        <v>1.44336</v>
      </c>
    </row>
    <row r="334" spans="1:8" x14ac:dyDescent="0.5">
      <c r="A334" s="62">
        <v>333</v>
      </c>
      <c r="B334" s="66">
        <v>1</v>
      </c>
      <c r="C334" s="67">
        <v>131</v>
      </c>
      <c r="D334" s="67">
        <v>67</v>
      </c>
      <c r="E334" s="68">
        <v>96</v>
      </c>
      <c r="F334" s="67">
        <v>91</v>
      </c>
      <c r="G334" s="65">
        <f t="shared" si="7"/>
        <v>0.84259200000000001</v>
      </c>
    </row>
    <row r="335" spans="1:8" x14ac:dyDescent="0.5">
      <c r="A335" s="62">
        <v>334</v>
      </c>
      <c r="B335" s="66">
        <v>1</v>
      </c>
      <c r="C335" s="67">
        <v>46</v>
      </c>
      <c r="D335" s="67">
        <v>75</v>
      </c>
      <c r="E335" s="68">
        <v>107</v>
      </c>
      <c r="F335" s="67">
        <v>55</v>
      </c>
      <c r="G335" s="65">
        <f t="shared" si="7"/>
        <v>0.36914999999999998</v>
      </c>
    </row>
    <row r="336" spans="1:8" x14ac:dyDescent="0.5">
      <c r="A336" s="62">
        <v>335</v>
      </c>
      <c r="B336" s="66">
        <v>1</v>
      </c>
      <c r="C336" s="67">
        <v>62</v>
      </c>
      <c r="D336" s="67">
        <v>122</v>
      </c>
      <c r="E336" s="68">
        <v>102</v>
      </c>
      <c r="F336" s="67">
        <v>139</v>
      </c>
      <c r="G336" s="65">
        <f t="shared" si="7"/>
        <v>0.77152799999999999</v>
      </c>
    </row>
    <row r="337" spans="1:7" x14ac:dyDescent="0.5">
      <c r="A337" s="62">
        <v>336</v>
      </c>
      <c r="B337" s="66">
        <v>1</v>
      </c>
      <c r="C337" s="67">
        <v>62</v>
      </c>
      <c r="D337" s="67">
        <v>122</v>
      </c>
      <c r="E337" s="68">
        <v>75</v>
      </c>
      <c r="F337" s="67">
        <v>176</v>
      </c>
      <c r="G337" s="65">
        <f t="shared" si="7"/>
        <v>0.56730000000000003</v>
      </c>
    </row>
    <row r="338" spans="1:7" x14ac:dyDescent="0.5">
      <c r="A338" s="62">
        <v>337</v>
      </c>
      <c r="B338" s="66">
        <v>1</v>
      </c>
      <c r="C338" s="67">
        <v>62</v>
      </c>
      <c r="D338" s="67">
        <v>122</v>
      </c>
      <c r="E338" s="68">
        <v>75</v>
      </c>
      <c r="F338" s="67">
        <v>185</v>
      </c>
      <c r="G338" s="65">
        <f t="shared" si="7"/>
        <v>0.56730000000000003</v>
      </c>
    </row>
    <row r="339" spans="1:7" x14ac:dyDescent="0.5">
      <c r="A339" s="62">
        <v>338</v>
      </c>
      <c r="B339" s="66">
        <v>1</v>
      </c>
      <c r="C339" s="67">
        <v>62</v>
      </c>
      <c r="D339" s="67">
        <v>122</v>
      </c>
      <c r="E339" s="68">
        <v>102</v>
      </c>
      <c r="F339" s="67">
        <v>133</v>
      </c>
      <c r="G339" s="65">
        <f t="shared" si="7"/>
        <v>0.77152799999999999</v>
      </c>
    </row>
    <row r="340" spans="1:7" x14ac:dyDescent="0.5">
      <c r="A340" s="62">
        <v>339</v>
      </c>
      <c r="B340" s="66">
        <v>1</v>
      </c>
      <c r="C340" s="67">
        <v>62</v>
      </c>
      <c r="D340" s="67">
        <v>122</v>
      </c>
      <c r="E340" s="68">
        <v>102</v>
      </c>
      <c r="F340" s="67">
        <v>113</v>
      </c>
      <c r="G340" s="65">
        <f t="shared" si="7"/>
        <v>0.77152799999999999</v>
      </c>
    </row>
    <row r="341" spans="1:7" x14ac:dyDescent="0.5">
      <c r="A341" s="62">
        <v>340</v>
      </c>
      <c r="B341" s="66">
        <v>1</v>
      </c>
      <c r="C341" s="67">
        <v>62</v>
      </c>
      <c r="D341" s="67">
        <v>122</v>
      </c>
      <c r="E341" s="68">
        <v>102</v>
      </c>
      <c r="F341" s="67">
        <v>130</v>
      </c>
      <c r="G341" s="65">
        <f t="shared" si="7"/>
        <v>0.77152799999999999</v>
      </c>
    </row>
    <row r="342" spans="1:7" x14ac:dyDescent="0.5">
      <c r="A342" s="62">
        <v>341</v>
      </c>
      <c r="B342" s="66">
        <v>1</v>
      </c>
      <c r="C342" s="67">
        <v>121</v>
      </c>
      <c r="D342" s="67">
        <v>80</v>
      </c>
      <c r="E342" s="67">
        <v>70</v>
      </c>
      <c r="F342" s="67">
        <v>55</v>
      </c>
      <c r="G342" s="65">
        <f t="shared" si="7"/>
        <v>0.67759999999999998</v>
      </c>
    </row>
    <row r="343" spans="1:7" x14ac:dyDescent="0.5">
      <c r="A343" s="62">
        <v>342</v>
      </c>
      <c r="B343" s="69">
        <v>1</v>
      </c>
      <c r="C343" s="70">
        <v>155</v>
      </c>
      <c r="D343" s="70">
        <v>96</v>
      </c>
      <c r="E343" s="71">
        <v>97</v>
      </c>
      <c r="F343" s="70">
        <v>368</v>
      </c>
      <c r="G343" s="65">
        <f t="shared" si="7"/>
        <v>1.44336</v>
      </c>
    </row>
    <row r="344" spans="1:7" x14ac:dyDescent="0.5">
      <c r="A344" s="62">
        <v>343</v>
      </c>
      <c r="B344" s="69">
        <v>1</v>
      </c>
      <c r="C344" s="70">
        <v>155</v>
      </c>
      <c r="D344" s="70">
        <v>96</v>
      </c>
      <c r="E344" s="71">
        <v>97</v>
      </c>
      <c r="F344" s="70">
        <v>368</v>
      </c>
      <c r="G344" s="65">
        <f t="shared" si="7"/>
        <v>1.44336</v>
      </c>
    </row>
    <row r="345" spans="1:7" x14ac:dyDescent="0.5">
      <c r="A345" s="62">
        <v>344</v>
      </c>
      <c r="B345" s="69">
        <v>1</v>
      </c>
      <c r="C345" s="70">
        <v>155</v>
      </c>
      <c r="D345" s="70">
        <v>96</v>
      </c>
      <c r="E345" s="71">
        <v>97</v>
      </c>
      <c r="F345" s="70">
        <v>368</v>
      </c>
      <c r="G345" s="65">
        <f t="shared" si="7"/>
        <v>1.44336</v>
      </c>
    </row>
    <row r="346" spans="1:7" x14ac:dyDescent="0.5">
      <c r="A346" s="62">
        <v>345</v>
      </c>
      <c r="B346" s="69">
        <v>1</v>
      </c>
      <c r="C346" s="70">
        <v>155</v>
      </c>
      <c r="D346" s="70">
        <v>96</v>
      </c>
      <c r="E346" s="71">
        <v>97</v>
      </c>
      <c r="F346" s="70">
        <v>368</v>
      </c>
      <c r="G346" s="65">
        <f t="shared" si="7"/>
        <v>1.44336</v>
      </c>
    </row>
    <row r="347" spans="1:7" x14ac:dyDescent="0.5">
      <c r="A347" s="62">
        <v>346</v>
      </c>
      <c r="B347" s="69">
        <v>1</v>
      </c>
      <c r="C347" s="70">
        <v>197</v>
      </c>
      <c r="D347" s="70">
        <v>65</v>
      </c>
      <c r="E347" s="71">
        <v>84</v>
      </c>
      <c r="F347" s="70">
        <v>138</v>
      </c>
      <c r="G347" s="65">
        <f t="shared" si="7"/>
        <v>1.07562</v>
      </c>
    </row>
    <row r="348" spans="1:7" x14ac:dyDescent="0.5">
      <c r="A348" s="62">
        <v>347</v>
      </c>
      <c r="B348" s="69">
        <v>1</v>
      </c>
      <c r="C348" s="70">
        <v>62</v>
      </c>
      <c r="D348" s="70">
        <v>60</v>
      </c>
      <c r="E348" s="71">
        <v>107</v>
      </c>
      <c r="F348" s="70">
        <v>115</v>
      </c>
      <c r="G348" s="65">
        <f t="shared" si="7"/>
        <v>0.39804</v>
      </c>
    </row>
    <row r="349" spans="1:7" x14ac:dyDescent="0.5">
      <c r="A349" s="62">
        <v>348</v>
      </c>
      <c r="B349" s="69">
        <v>1</v>
      </c>
      <c r="C349" s="70">
        <v>62</v>
      </c>
      <c r="D349" s="70">
        <v>122</v>
      </c>
      <c r="E349" s="71">
        <v>102</v>
      </c>
      <c r="F349" s="70">
        <v>138</v>
      </c>
      <c r="G349" s="65">
        <f t="shared" si="7"/>
        <v>0.77152799999999999</v>
      </c>
    </row>
    <row r="350" spans="1:7" x14ac:dyDescent="0.5">
      <c r="A350" s="62">
        <v>349</v>
      </c>
      <c r="B350" s="69">
        <v>1</v>
      </c>
      <c r="C350" s="70">
        <v>62</v>
      </c>
      <c r="D350" s="70">
        <v>122</v>
      </c>
      <c r="E350" s="71">
        <v>75</v>
      </c>
      <c r="F350" s="70">
        <v>195</v>
      </c>
      <c r="G350" s="65">
        <f t="shared" si="7"/>
        <v>0.56730000000000003</v>
      </c>
    </row>
    <row r="351" spans="1:7" x14ac:dyDescent="0.5">
      <c r="A351" s="62">
        <v>350</v>
      </c>
      <c r="B351" s="69">
        <v>1</v>
      </c>
      <c r="C351" s="70">
        <v>62</v>
      </c>
      <c r="D351" s="70">
        <v>122</v>
      </c>
      <c r="E351" s="71">
        <v>75</v>
      </c>
      <c r="F351" s="70">
        <v>193</v>
      </c>
      <c r="G351" s="65">
        <f t="shared" si="7"/>
        <v>0.56730000000000003</v>
      </c>
    </row>
    <row r="352" spans="1:7" x14ac:dyDescent="0.5">
      <c r="A352" s="62">
        <v>351</v>
      </c>
      <c r="B352" s="69">
        <v>1</v>
      </c>
      <c r="C352" s="70">
        <v>62</v>
      </c>
      <c r="D352" s="70">
        <v>122</v>
      </c>
      <c r="E352" s="71">
        <v>102</v>
      </c>
      <c r="F352" s="70">
        <v>150</v>
      </c>
      <c r="G352" s="65">
        <f t="shared" si="7"/>
        <v>0.77152799999999999</v>
      </c>
    </row>
    <row r="353" spans="1:7" x14ac:dyDescent="0.5">
      <c r="A353" s="62">
        <v>352</v>
      </c>
      <c r="B353" s="69">
        <v>1</v>
      </c>
      <c r="C353" s="70">
        <v>62</v>
      </c>
      <c r="D353" s="70">
        <v>122</v>
      </c>
      <c r="E353" s="71">
        <v>102</v>
      </c>
      <c r="F353" s="70">
        <v>100</v>
      </c>
      <c r="G353" s="65">
        <f t="shared" si="7"/>
        <v>0.77152799999999999</v>
      </c>
    </row>
    <row r="354" spans="1:7" x14ac:dyDescent="0.5">
      <c r="A354" s="62">
        <v>353</v>
      </c>
      <c r="B354" s="69">
        <v>1</v>
      </c>
      <c r="C354" s="70">
        <v>62</v>
      </c>
      <c r="D354" s="70">
        <v>122</v>
      </c>
      <c r="E354" s="71">
        <v>102</v>
      </c>
      <c r="F354" s="70">
        <v>102</v>
      </c>
      <c r="G354" s="65">
        <f t="shared" si="7"/>
        <v>0.77152799999999999</v>
      </c>
    </row>
    <row r="355" spans="1:7" x14ac:dyDescent="0.5">
      <c r="A355" s="74"/>
      <c r="B355" s="75"/>
      <c r="C355" s="75"/>
      <c r="D355" s="75"/>
      <c r="E355" s="76"/>
      <c r="F355" s="72">
        <f>SUM(F2:F354)</f>
        <v>19605.900000000001</v>
      </c>
      <c r="G355" s="73">
        <f>SUM(G2:G354)</f>
        <v>94.146637999999925</v>
      </c>
    </row>
  </sheetData>
  <mergeCells count="1">
    <mergeCell ref="A355:E3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52"/>
  <sheetViews>
    <sheetView topLeftCell="A238" workbookViewId="0">
      <selection activeCell="J254" sqref="J254"/>
    </sheetView>
  </sheetViews>
  <sheetFormatPr defaultRowHeight="14.35" x14ac:dyDescent="0.5"/>
  <sheetData>
    <row r="3" spans="1:7" x14ac:dyDescent="0.5">
      <c r="A3" s="7" t="s">
        <v>6</v>
      </c>
      <c r="B3" s="4" t="s">
        <v>0</v>
      </c>
      <c r="C3" s="4" t="s">
        <v>2</v>
      </c>
      <c r="D3" s="4" t="s">
        <v>3</v>
      </c>
      <c r="E3" s="4" t="s">
        <v>4</v>
      </c>
      <c r="F3" s="5" t="s">
        <v>1</v>
      </c>
      <c r="G3" s="4" t="s">
        <v>5</v>
      </c>
    </row>
    <row r="4" spans="1:7" x14ac:dyDescent="0.5">
      <c r="A4" s="8">
        <v>1</v>
      </c>
      <c r="B4" s="9">
        <v>1001</v>
      </c>
      <c r="C4" s="10">
        <v>170</v>
      </c>
      <c r="D4" s="10">
        <v>109</v>
      </c>
      <c r="E4" s="10">
        <v>67</v>
      </c>
      <c r="F4" s="10">
        <v>236</v>
      </c>
      <c r="G4" s="11">
        <f t="shared" ref="G4:G56" si="0">PRODUCT(C4:E4)/1000000</f>
        <v>1.2415099999999999</v>
      </c>
    </row>
    <row r="5" spans="1:7" x14ac:dyDescent="0.5">
      <c r="A5" s="8">
        <v>2</v>
      </c>
      <c r="B5" s="9">
        <f>COUNTIF($B$1:B4, "&gt;0")+1001</f>
        <v>1002</v>
      </c>
      <c r="C5" s="10">
        <v>170</v>
      </c>
      <c r="D5" s="10">
        <v>109</v>
      </c>
      <c r="E5" s="10">
        <v>67</v>
      </c>
      <c r="F5" s="10">
        <v>225</v>
      </c>
      <c r="G5" s="11">
        <f t="shared" si="0"/>
        <v>1.2415099999999999</v>
      </c>
    </row>
    <row r="6" spans="1:7" x14ac:dyDescent="0.5">
      <c r="A6" s="8">
        <v>3</v>
      </c>
      <c r="B6" s="9">
        <f>COUNTIF($B$1:B5, "&gt;0")+1001</f>
        <v>1003</v>
      </c>
      <c r="C6" s="12">
        <v>90</v>
      </c>
      <c r="D6" s="12">
        <v>66</v>
      </c>
      <c r="E6" s="12">
        <v>55</v>
      </c>
      <c r="F6" s="12">
        <v>70</v>
      </c>
      <c r="G6" s="13">
        <f t="shared" si="0"/>
        <v>0.32669999999999999</v>
      </c>
    </row>
    <row r="7" spans="1:7" x14ac:dyDescent="0.5">
      <c r="A7" s="8">
        <v>4</v>
      </c>
      <c r="B7" s="9">
        <f>COUNTIF($B$1:B6, "&gt;0")+1001</f>
        <v>1004</v>
      </c>
      <c r="C7" s="14">
        <v>109</v>
      </c>
      <c r="D7" s="14">
        <v>65</v>
      </c>
      <c r="E7" s="14">
        <v>102</v>
      </c>
      <c r="F7" s="15">
        <v>143</v>
      </c>
      <c r="G7" s="16">
        <f t="shared" si="0"/>
        <v>0.72267000000000003</v>
      </c>
    </row>
    <row r="8" spans="1:7" x14ac:dyDescent="0.5">
      <c r="A8" s="8">
        <v>5</v>
      </c>
      <c r="B8" s="9">
        <f>COUNTIF($B$1:B7, "&gt;0")+1001</f>
        <v>1005</v>
      </c>
      <c r="C8" s="14">
        <v>109</v>
      </c>
      <c r="D8" s="14">
        <v>65</v>
      </c>
      <c r="E8" s="14">
        <v>102</v>
      </c>
      <c r="F8" s="15">
        <v>143</v>
      </c>
      <c r="G8" s="16">
        <f t="shared" si="0"/>
        <v>0.72267000000000003</v>
      </c>
    </row>
    <row r="9" spans="1:7" x14ac:dyDescent="0.5">
      <c r="A9" s="8">
        <v>6</v>
      </c>
      <c r="B9" s="9">
        <f>COUNTIF($B$1:B8, "&gt;0")+1001</f>
        <v>1006</v>
      </c>
      <c r="C9" s="17">
        <v>170</v>
      </c>
      <c r="D9" s="17">
        <v>109</v>
      </c>
      <c r="E9" s="17">
        <v>67</v>
      </c>
      <c r="F9" s="17">
        <v>159</v>
      </c>
      <c r="G9" s="16">
        <f t="shared" si="0"/>
        <v>1.2415099999999999</v>
      </c>
    </row>
    <row r="10" spans="1:7" x14ac:dyDescent="0.5">
      <c r="A10" s="8">
        <v>7</v>
      </c>
      <c r="B10" s="9">
        <f>COUNTIF($B$1:B9, "&gt;0")+1001</f>
        <v>1007</v>
      </c>
      <c r="C10" s="18">
        <v>170</v>
      </c>
      <c r="D10" s="18">
        <v>109</v>
      </c>
      <c r="E10" s="18">
        <v>67</v>
      </c>
      <c r="F10" s="19">
        <v>160</v>
      </c>
      <c r="G10" s="20">
        <f t="shared" si="0"/>
        <v>1.2415099999999999</v>
      </c>
    </row>
    <row r="11" spans="1:7" x14ac:dyDescent="0.5">
      <c r="A11" s="8">
        <v>8</v>
      </c>
      <c r="B11" s="9">
        <f>COUNTIF($B$1:B10, "&gt;0")+1001</f>
        <v>1008</v>
      </c>
      <c r="C11" s="21">
        <v>131</v>
      </c>
      <c r="D11" s="21">
        <v>44</v>
      </c>
      <c r="E11" s="21">
        <v>83</v>
      </c>
      <c r="F11" s="21">
        <v>76</v>
      </c>
      <c r="G11" s="20">
        <f t="shared" si="0"/>
        <v>0.478412</v>
      </c>
    </row>
    <row r="12" spans="1:7" x14ac:dyDescent="0.5">
      <c r="A12" s="8">
        <v>9</v>
      </c>
      <c r="B12" s="9">
        <f>COUNTIF($B$1:B11, "&gt;0")+1001</f>
        <v>1009</v>
      </c>
      <c r="C12" s="21">
        <v>58</v>
      </c>
      <c r="D12" s="21">
        <v>50</v>
      </c>
      <c r="E12" s="21">
        <v>54</v>
      </c>
      <c r="F12" s="21">
        <v>40</v>
      </c>
      <c r="G12" s="20">
        <f t="shared" si="0"/>
        <v>0.15659999999999999</v>
      </c>
    </row>
    <row r="13" spans="1:7" x14ac:dyDescent="0.5">
      <c r="A13" s="8">
        <v>10</v>
      </c>
      <c r="B13" s="9">
        <f>COUNTIF($B$1:B12, "&gt;0")+1001</f>
        <v>1010</v>
      </c>
      <c r="C13" s="17">
        <v>50</v>
      </c>
      <c r="D13" s="17">
        <v>25</v>
      </c>
      <c r="E13" s="17">
        <v>55</v>
      </c>
      <c r="F13" s="17">
        <v>9</v>
      </c>
      <c r="G13" s="20">
        <f t="shared" si="0"/>
        <v>6.8750000000000006E-2</v>
      </c>
    </row>
    <row r="14" spans="1:7" x14ac:dyDescent="0.5">
      <c r="A14" s="8">
        <v>11</v>
      </c>
      <c r="B14" s="9">
        <f>COUNTIF($B$1:B13, "&gt;0")+1001</f>
        <v>1011</v>
      </c>
      <c r="C14" s="17">
        <v>64</v>
      </c>
      <c r="D14" s="17">
        <v>58</v>
      </c>
      <c r="E14" s="17">
        <v>29</v>
      </c>
      <c r="F14" s="22">
        <v>31</v>
      </c>
      <c r="G14" s="13">
        <f t="shared" si="0"/>
        <v>0.10764799999999999</v>
      </c>
    </row>
    <row r="15" spans="1:7" x14ac:dyDescent="0.5">
      <c r="A15" s="8">
        <v>12</v>
      </c>
      <c r="B15" s="9">
        <f>COUNTIF($B$1:B14, "&gt;0")+1001</f>
        <v>1012</v>
      </c>
      <c r="C15" s="17">
        <v>64</v>
      </c>
      <c r="D15" s="17">
        <v>58</v>
      </c>
      <c r="E15" s="17">
        <v>29</v>
      </c>
      <c r="F15" s="22">
        <v>31</v>
      </c>
      <c r="G15" s="13">
        <f t="shared" si="0"/>
        <v>0.10764799999999999</v>
      </c>
    </row>
    <row r="16" spans="1:7" x14ac:dyDescent="0.5">
      <c r="A16" s="8">
        <v>13</v>
      </c>
      <c r="B16" s="9">
        <f>COUNTIF($B$1:B15, "&gt;0")+1001</f>
        <v>1013</v>
      </c>
      <c r="C16" s="23">
        <v>58</v>
      </c>
      <c r="D16" s="23">
        <v>38</v>
      </c>
      <c r="E16" s="23">
        <v>25</v>
      </c>
      <c r="F16" s="24">
        <v>9</v>
      </c>
      <c r="G16" s="20">
        <f t="shared" si="0"/>
        <v>5.5100000000000003E-2</v>
      </c>
    </row>
    <row r="17" spans="1:7" x14ac:dyDescent="0.5">
      <c r="A17" s="8">
        <v>14</v>
      </c>
      <c r="B17" s="9">
        <f>COUNTIF($B$1:B16, "&gt;0")+1001</f>
        <v>1014</v>
      </c>
      <c r="C17" s="23">
        <v>58</v>
      </c>
      <c r="D17" s="23">
        <v>38</v>
      </c>
      <c r="E17" s="23">
        <v>25</v>
      </c>
      <c r="F17" s="24">
        <v>9</v>
      </c>
      <c r="G17" s="20">
        <f t="shared" si="0"/>
        <v>5.5100000000000003E-2</v>
      </c>
    </row>
    <row r="18" spans="1:7" x14ac:dyDescent="0.5">
      <c r="A18" s="8">
        <v>15</v>
      </c>
      <c r="B18" s="9">
        <f>COUNTIF($B$1:B17, "&gt;0")+1001</f>
        <v>1015</v>
      </c>
      <c r="C18" s="23">
        <v>58</v>
      </c>
      <c r="D18" s="23">
        <v>38</v>
      </c>
      <c r="E18" s="23">
        <v>25</v>
      </c>
      <c r="F18" s="24">
        <v>9</v>
      </c>
      <c r="G18" s="20">
        <f t="shared" si="0"/>
        <v>5.5100000000000003E-2</v>
      </c>
    </row>
    <row r="19" spans="1:7" x14ac:dyDescent="0.5">
      <c r="A19" s="8">
        <v>16</v>
      </c>
      <c r="B19" s="9">
        <f>COUNTIF($B$1:B18, "&gt;0")+1001</f>
        <v>1016</v>
      </c>
      <c r="C19" s="23">
        <v>58</v>
      </c>
      <c r="D19" s="23">
        <v>38</v>
      </c>
      <c r="E19" s="23">
        <v>25</v>
      </c>
      <c r="F19" s="24">
        <v>9</v>
      </c>
      <c r="G19" s="20">
        <f t="shared" si="0"/>
        <v>5.5100000000000003E-2</v>
      </c>
    </row>
    <row r="20" spans="1:7" x14ac:dyDescent="0.5">
      <c r="A20" s="8">
        <v>17</v>
      </c>
      <c r="B20" s="9">
        <f>COUNTIF($B$1:B19, "&gt;0")+1001</f>
        <v>1017</v>
      </c>
      <c r="C20" s="25">
        <v>120</v>
      </c>
      <c r="D20" s="25">
        <v>44</v>
      </c>
      <c r="E20" s="25">
        <v>78</v>
      </c>
      <c r="F20" s="26">
        <v>73</v>
      </c>
      <c r="G20" s="20">
        <f t="shared" si="0"/>
        <v>0.41183999999999998</v>
      </c>
    </row>
    <row r="21" spans="1:7" x14ac:dyDescent="0.5">
      <c r="A21" s="8">
        <v>18</v>
      </c>
      <c r="B21" s="9">
        <f>COUNTIF($B$1:B20, "&gt;0")+1001</f>
        <v>1018</v>
      </c>
      <c r="C21" s="25">
        <v>120</v>
      </c>
      <c r="D21" s="25">
        <v>44</v>
      </c>
      <c r="E21" s="25">
        <v>78</v>
      </c>
      <c r="F21" s="26">
        <v>73</v>
      </c>
      <c r="G21" s="20">
        <f t="shared" si="0"/>
        <v>0.41183999999999998</v>
      </c>
    </row>
    <row r="22" spans="1:7" x14ac:dyDescent="0.5">
      <c r="A22" s="8">
        <v>19</v>
      </c>
      <c r="B22" s="9">
        <f>COUNTIF($B$1:B21, "&gt;0")+1001</f>
        <v>1019</v>
      </c>
      <c r="C22" s="25">
        <v>120</v>
      </c>
      <c r="D22" s="25">
        <v>44</v>
      </c>
      <c r="E22" s="25">
        <v>78</v>
      </c>
      <c r="F22" s="26">
        <v>73</v>
      </c>
      <c r="G22" s="20">
        <f t="shared" si="0"/>
        <v>0.41183999999999998</v>
      </c>
    </row>
    <row r="23" spans="1:7" x14ac:dyDescent="0.5">
      <c r="A23" s="8">
        <v>20</v>
      </c>
      <c r="B23" s="9">
        <f>COUNTIF($B$1:B22, "&gt;0")+1001</f>
        <v>1020</v>
      </c>
      <c r="C23" s="25">
        <v>120</v>
      </c>
      <c r="D23" s="25">
        <v>44</v>
      </c>
      <c r="E23" s="25">
        <v>78</v>
      </c>
      <c r="F23" s="26">
        <v>73</v>
      </c>
      <c r="G23" s="20">
        <f t="shared" si="0"/>
        <v>0.41183999999999998</v>
      </c>
    </row>
    <row r="24" spans="1:7" x14ac:dyDescent="0.5">
      <c r="A24" s="8">
        <v>21</v>
      </c>
      <c r="B24" s="9">
        <f>COUNTIF($B$1:B23, "&gt;0")+1001</f>
        <v>1021</v>
      </c>
      <c r="C24" s="21">
        <v>120</v>
      </c>
      <c r="D24" s="21">
        <v>91</v>
      </c>
      <c r="E24" s="21">
        <v>34</v>
      </c>
      <c r="F24" s="27">
        <v>56</v>
      </c>
      <c r="G24" s="20">
        <f t="shared" si="0"/>
        <v>0.37128</v>
      </c>
    </row>
    <row r="25" spans="1:7" x14ac:dyDescent="0.5">
      <c r="A25" s="8">
        <v>22</v>
      </c>
      <c r="B25" s="9">
        <f>COUNTIF($B$1:B24, "&gt;0")+1001</f>
        <v>1022</v>
      </c>
      <c r="C25" s="21">
        <v>120</v>
      </c>
      <c r="D25" s="21">
        <v>91</v>
      </c>
      <c r="E25" s="21">
        <v>34</v>
      </c>
      <c r="F25" s="27">
        <v>56</v>
      </c>
      <c r="G25" s="20">
        <f t="shared" si="0"/>
        <v>0.37128</v>
      </c>
    </row>
    <row r="26" spans="1:7" x14ac:dyDescent="0.5">
      <c r="A26" s="8">
        <v>23</v>
      </c>
      <c r="B26" s="9">
        <f>COUNTIF($B$1:B25, "&gt;0")+1001</f>
        <v>1023</v>
      </c>
      <c r="C26" s="21">
        <v>120</v>
      </c>
      <c r="D26" s="21">
        <v>91</v>
      </c>
      <c r="E26" s="21">
        <v>34</v>
      </c>
      <c r="F26" s="27">
        <v>56</v>
      </c>
      <c r="G26" s="20">
        <f t="shared" si="0"/>
        <v>0.37128</v>
      </c>
    </row>
    <row r="27" spans="1:7" x14ac:dyDescent="0.5">
      <c r="A27" s="8">
        <v>24</v>
      </c>
      <c r="B27" s="9">
        <f>COUNTIF($B$1:B26, "&gt;0")+1001</f>
        <v>1024</v>
      </c>
      <c r="C27" s="21">
        <v>120</v>
      </c>
      <c r="D27" s="21">
        <v>91</v>
      </c>
      <c r="E27" s="21">
        <v>34</v>
      </c>
      <c r="F27" s="27">
        <v>56</v>
      </c>
      <c r="G27" s="20">
        <f t="shared" si="0"/>
        <v>0.37128</v>
      </c>
    </row>
    <row r="28" spans="1:7" x14ac:dyDescent="0.5">
      <c r="A28" s="8">
        <v>25</v>
      </c>
      <c r="B28" s="9">
        <f>COUNTIF($B$1:B27, "&gt;0")+1001</f>
        <v>1025</v>
      </c>
      <c r="C28" s="21">
        <v>120</v>
      </c>
      <c r="D28" s="21">
        <v>91</v>
      </c>
      <c r="E28" s="21">
        <v>34</v>
      </c>
      <c r="F28" s="27">
        <v>56</v>
      </c>
      <c r="G28" s="20">
        <f t="shared" si="0"/>
        <v>0.37128</v>
      </c>
    </row>
    <row r="29" spans="1:7" x14ac:dyDescent="0.5">
      <c r="A29" s="8">
        <v>26</v>
      </c>
      <c r="B29" s="9">
        <f>COUNTIF($B$1:B28, "&gt;0")+1001</f>
        <v>1026</v>
      </c>
      <c r="C29" s="10">
        <v>156</v>
      </c>
      <c r="D29" s="10">
        <v>13</v>
      </c>
      <c r="E29" s="10">
        <v>13</v>
      </c>
      <c r="F29" s="10">
        <v>5</v>
      </c>
      <c r="G29" s="20">
        <f t="shared" si="0"/>
        <v>2.6363999999999999E-2</v>
      </c>
    </row>
    <row r="30" spans="1:7" x14ac:dyDescent="0.5">
      <c r="A30" s="8">
        <v>27</v>
      </c>
      <c r="B30" s="9">
        <f>COUNTIF($B$1:B29, "&gt;0")+1001</f>
        <v>1027</v>
      </c>
      <c r="C30" s="10">
        <v>156</v>
      </c>
      <c r="D30" s="10">
        <v>13</v>
      </c>
      <c r="E30" s="10">
        <v>13</v>
      </c>
      <c r="F30" s="10">
        <v>5</v>
      </c>
      <c r="G30" s="20">
        <f t="shared" si="0"/>
        <v>2.6363999999999999E-2</v>
      </c>
    </row>
    <row r="31" spans="1:7" x14ac:dyDescent="0.5">
      <c r="A31" s="8">
        <v>28</v>
      </c>
      <c r="B31" s="9">
        <f>COUNTIF($B$1:B30, "&gt;0")+1001</f>
        <v>1028</v>
      </c>
      <c r="C31" s="10">
        <v>156</v>
      </c>
      <c r="D31" s="10">
        <v>13</v>
      </c>
      <c r="E31" s="10">
        <v>13</v>
      </c>
      <c r="F31" s="10">
        <v>5</v>
      </c>
      <c r="G31" s="20">
        <f t="shared" si="0"/>
        <v>2.6363999999999999E-2</v>
      </c>
    </row>
    <row r="32" spans="1:7" x14ac:dyDescent="0.5">
      <c r="A32" s="8">
        <v>29</v>
      </c>
      <c r="B32" s="9">
        <f>COUNTIF($B$1:B31, "&gt;0")+1001</f>
        <v>1029</v>
      </c>
      <c r="C32" s="10">
        <v>156</v>
      </c>
      <c r="D32" s="10">
        <v>13</v>
      </c>
      <c r="E32" s="10">
        <v>13</v>
      </c>
      <c r="F32" s="10">
        <v>5</v>
      </c>
      <c r="G32" s="20">
        <f t="shared" si="0"/>
        <v>2.6363999999999999E-2</v>
      </c>
    </row>
    <row r="33" spans="1:7" x14ac:dyDescent="0.5">
      <c r="A33" s="8">
        <v>30</v>
      </c>
      <c r="B33" s="9">
        <f>COUNTIF($B$1:B32, "&gt;0")+1001</f>
        <v>1030</v>
      </c>
      <c r="C33" s="10">
        <v>156</v>
      </c>
      <c r="D33" s="10">
        <v>13</v>
      </c>
      <c r="E33" s="10">
        <v>13</v>
      </c>
      <c r="F33" s="10">
        <v>5</v>
      </c>
      <c r="G33" s="20">
        <f t="shared" si="0"/>
        <v>2.6363999999999999E-2</v>
      </c>
    </row>
    <row r="34" spans="1:7" x14ac:dyDescent="0.5">
      <c r="A34" s="8">
        <v>31</v>
      </c>
      <c r="B34" s="9">
        <f>COUNTIF($B$1:B33, "&gt;0")+1001</f>
        <v>1031</v>
      </c>
      <c r="C34" s="10">
        <v>156</v>
      </c>
      <c r="D34" s="10">
        <v>13</v>
      </c>
      <c r="E34" s="10">
        <v>13</v>
      </c>
      <c r="F34" s="10">
        <v>5</v>
      </c>
      <c r="G34" s="20">
        <f t="shared" si="0"/>
        <v>2.6363999999999999E-2</v>
      </c>
    </row>
    <row r="35" spans="1:7" x14ac:dyDescent="0.5">
      <c r="A35" s="8">
        <v>32</v>
      </c>
      <c r="B35" s="9">
        <f>COUNTIF($B$1:B34, "&gt;0")+1001</f>
        <v>1032</v>
      </c>
      <c r="C35" s="10">
        <v>156</v>
      </c>
      <c r="D35" s="10">
        <v>13</v>
      </c>
      <c r="E35" s="10">
        <v>13</v>
      </c>
      <c r="F35" s="10">
        <v>5</v>
      </c>
      <c r="G35" s="20">
        <f t="shared" si="0"/>
        <v>2.6363999999999999E-2</v>
      </c>
    </row>
    <row r="36" spans="1:7" x14ac:dyDescent="0.5">
      <c r="A36" s="8">
        <v>33</v>
      </c>
      <c r="B36" s="9">
        <f>COUNTIF($B$1:B35, "&gt;0")+1001</f>
        <v>1033</v>
      </c>
      <c r="C36" s="10">
        <v>156</v>
      </c>
      <c r="D36" s="10">
        <v>13</v>
      </c>
      <c r="E36" s="10">
        <v>13</v>
      </c>
      <c r="F36" s="10">
        <v>5</v>
      </c>
      <c r="G36" s="20">
        <f t="shared" si="0"/>
        <v>2.6363999999999999E-2</v>
      </c>
    </row>
    <row r="37" spans="1:7" x14ac:dyDescent="0.5">
      <c r="A37" s="8">
        <v>34</v>
      </c>
      <c r="B37" s="9">
        <f>COUNTIF($B$1:B36, "&gt;0")+1001</f>
        <v>1034</v>
      </c>
      <c r="C37" s="10">
        <v>156</v>
      </c>
      <c r="D37" s="10">
        <v>13</v>
      </c>
      <c r="E37" s="10">
        <v>13</v>
      </c>
      <c r="F37" s="10">
        <v>5</v>
      </c>
      <c r="G37" s="20">
        <f t="shared" si="0"/>
        <v>2.6363999999999999E-2</v>
      </c>
    </row>
    <row r="38" spans="1:7" x14ac:dyDescent="0.5">
      <c r="A38" s="8">
        <v>35</v>
      </c>
      <c r="B38" s="9">
        <f>COUNTIF($B$1:B37, "&gt;0")+1001</f>
        <v>1035</v>
      </c>
      <c r="C38" s="21">
        <v>208</v>
      </c>
      <c r="D38" s="21">
        <v>14</v>
      </c>
      <c r="E38" s="21">
        <v>14</v>
      </c>
      <c r="F38" s="21">
        <v>11</v>
      </c>
      <c r="G38" s="20">
        <f t="shared" si="0"/>
        <v>4.0767999999999999E-2</v>
      </c>
    </row>
    <row r="39" spans="1:7" x14ac:dyDescent="0.5">
      <c r="A39" s="8">
        <v>36</v>
      </c>
      <c r="B39" s="9">
        <f>COUNTIF($B$1:B38, "&gt;0")+1001</f>
        <v>1036</v>
      </c>
      <c r="C39" s="21">
        <v>208</v>
      </c>
      <c r="D39" s="21">
        <v>14</v>
      </c>
      <c r="E39" s="21">
        <v>14</v>
      </c>
      <c r="F39" s="21">
        <v>11</v>
      </c>
      <c r="G39" s="20">
        <f t="shared" si="0"/>
        <v>4.0767999999999999E-2</v>
      </c>
    </row>
    <row r="40" spans="1:7" x14ac:dyDescent="0.5">
      <c r="A40" s="8">
        <v>37</v>
      </c>
      <c r="B40" s="9">
        <f>COUNTIF($B$1:B39, "&gt;0")+1001</f>
        <v>1037</v>
      </c>
      <c r="C40" s="21">
        <v>208</v>
      </c>
      <c r="D40" s="21">
        <v>14</v>
      </c>
      <c r="E40" s="21">
        <v>14</v>
      </c>
      <c r="F40" s="21">
        <v>11</v>
      </c>
      <c r="G40" s="20">
        <f t="shared" si="0"/>
        <v>4.0767999999999999E-2</v>
      </c>
    </row>
    <row r="41" spans="1:7" x14ac:dyDescent="0.5">
      <c r="A41" s="8">
        <v>38</v>
      </c>
      <c r="B41" s="9">
        <f>COUNTIF($B$1:B40, "&gt;0")+1001</f>
        <v>1038</v>
      </c>
      <c r="C41" s="21">
        <v>208</v>
      </c>
      <c r="D41" s="21">
        <v>14</v>
      </c>
      <c r="E41" s="21">
        <v>14</v>
      </c>
      <c r="F41" s="21">
        <v>11</v>
      </c>
      <c r="G41" s="20">
        <f t="shared" si="0"/>
        <v>4.0767999999999999E-2</v>
      </c>
    </row>
    <row r="42" spans="1:7" x14ac:dyDescent="0.5">
      <c r="A42" s="8">
        <v>39</v>
      </c>
      <c r="B42" s="9">
        <f>COUNTIF($B$1:B41, "&gt;0")+1001</f>
        <v>1039</v>
      </c>
      <c r="C42" s="17">
        <v>120</v>
      </c>
      <c r="D42" s="17">
        <v>90</v>
      </c>
      <c r="E42" s="17">
        <v>55</v>
      </c>
      <c r="F42" s="21">
        <v>109</v>
      </c>
      <c r="G42" s="20">
        <f t="shared" si="0"/>
        <v>0.59399999999999997</v>
      </c>
    </row>
    <row r="43" spans="1:7" x14ac:dyDescent="0.5">
      <c r="A43" s="8">
        <v>40</v>
      </c>
      <c r="B43" s="9">
        <f>COUNTIF($B$1:B42, "&gt;0")+1001</f>
        <v>1040</v>
      </c>
      <c r="C43" s="17">
        <v>120</v>
      </c>
      <c r="D43" s="17">
        <v>90</v>
      </c>
      <c r="E43" s="17">
        <v>55</v>
      </c>
      <c r="F43" s="21">
        <v>109</v>
      </c>
      <c r="G43" s="20">
        <f t="shared" si="0"/>
        <v>0.59399999999999997</v>
      </c>
    </row>
    <row r="44" spans="1:7" x14ac:dyDescent="0.5">
      <c r="A44" s="8">
        <v>41</v>
      </c>
      <c r="B44" s="9">
        <f>COUNTIF($B$1:B43, "&gt;0")+1001</f>
        <v>1041</v>
      </c>
      <c r="C44" s="17">
        <v>120</v>
      </c>
      <c r="D44" s="17">
        <v>90</v>
      </c>
      <c r="E44" s="17">
        <v>55</v>
      </c>
      <c r="F44" s="21">
        <v>109</v>
      </c>
      <c r="G44" s="20">
        <f t="shared" si="0"/>
        <v>0.59399999999999997</v>
      </c>
    </row>
    <row r="45" spans="1:7" x14ac:dyDescent="0.5">
      <c r="A45" s="8">
        <v>42</v>
      </c>
      <c r="B45" s="9">
        <f>COUNTIF($B$1:B44, "&gt;0")+1001</f>
        <v>1042</v>
      </c>
      <c r="C45" s="21">
        <v>115</v>
      </c>
      <c r="D45" s="21">
        <v>63</v>
      </c>
      <c r="E45" s="21">
        <v>52</v>
      </c>
      <c r="F45" s="27">
        <v>41</v>
      </c>
      <c r="G45" s="20">
        <f t="shared" si="0"/>
        <v>0.37674000000000002</v>
      </c>
    </row>
    <row r="46" spans="1:7" x14ac:dyDescent="0.5">
      <c r="A46" s="8">
        <v>43</v>
      </c>
      <c r="B46" s="9">
        <f>COUNTIF($B$1:B45, "&gt;0")+1001</f>
        <v>1043</v>
      </c>
      <c r="C46" s="21">
        <v>115</v>
      </c>
      <c r="D46" s="21">
        <v>63</v>
      </c>
      <c r="E46" s="21">
        <v>52</v>
      </c>
      <c r="F46" s="27">
        <v>41</v>
      </c>
      <c r="G46" s="20">
        <f t="shared" si="0"/>
        <v>0.37674000000000002</v>
      </c>
    </row>
    <row r="47" spans="1:7" x14ac:dyDescent="0.5">
      <c r="A47" s="8">
        <v>44</v>
      </c>
      <c r="B47" s="9">
        <f>COUNTIF($B$1:B46, "&gt;0")+1001</f>
        <v>1044</v>
      </c>
      <c r="C47" s="21">
        <v>115</v>
      </c>
      <c r="D47" s="21">
        <v>63</v>
      </c>
      <c r="E47" s="21">
        <v>52</v>
      </c>
      <c r="F47" s="27">
        <v>41</v>
      </c>
      <c r="G47" s="20">
        <f t="shared" si="0"/>
        <v>0.37674000000000002</v>
      </c>
    </row>
    <row r="48" spans="1:7" x14ac:dyDescent="0.5">
      <c r="A48" s="8">
        <v>45</v>
      </c>
      <c r="B48" s="9">
        <f>COUNTIF($B$1:B47, "&gt;0")+1001</f>
        <v>1045</v>
      </c>
      <c r="C48" s="21">
        <v>115</v>
      </c>
      <c r="D48" s="21">
        <v>63</v>
      </c>
      <c r="E48" s="21">
        <v>52</v>
      </c>
      <c r="F48" s="27">
        <v>41</v>
      </c>
      <c r="G48" s="20">
        <f t="shared" si="0"/>
        <v>0.37674000000000002</v>
      </c>
    </row>
    <row r="49" spans="1:7" x14ac:dyDescent="0.5">
      <c r="A49" s="8">
        <v>46</v>
      </c>
      <c r="B49" s="9">
        <f>COUNTIF($B$1:B48, "&gt;0")+1001</f>
        <v>1046</v>
      </c>
      <c r="C49" s="21">
        <v>115</v>
      </c>
      <c r="D49" s="21">
        <v>63</v>
      </c>
      <c r="E49" s="21">
        <v>52</v>
      </c>
      <c r="F49" s="27">
        <v>41</v>
      </c>
      <c r="G49" s="20">
        <f t="shared" si="0"/>
        <v>0.37674000000000002</v>
      </c>
    </row>
    <row r="50" spans="1:7" x14ac:dyDescent="0.5">
      <c r="A50" s="8">
        <v>47</v>
      </c>
      <c r="B50" s="9">
        <f>COUNTIF($B$1:B49, "&gt;0")+1001</f>
        <v>1047</v>
      </c>
      <c r="C50" s="21">
        <v>115</v>
      </c>
      <c r="D50" s="21">
        <v>63</v>
      </c>
      <c r="E50" s="21">
        <v>52</v>
      </c>
      <c r="F50" s="27">
        <v>41</v>
      </c>
      <c r="G50" s="20">
        <f t="shared" si="0"/>
        <v>0.37674000000000002</v>
      </c>
    </row>
    <row r="51" spans="1:7" x14ac:dyDescent="0.5">
      <c r="A51" s="8">
        <v>48</v>
      </c>
      <c r="B51" s="9">
        <f>COUNTIF($B$1:B50, "&gt;0")+1001</f>
        <v>1048</v>
      </c>
      <c r="C51" s="21">
        <v>115</v>
      </c>
      <c r="D51" s="21">
        <v>63</v>
      </c>
      <c r="E51" s="21">
        <v>52</v>
      </c>
      <c r="F51" s="27">
        <v>41</v>
      </c>
      <c r="G51" s="20">
        <f t="shared" si="0"/>
        <v>0.37674000000000002</v>
      </c>
    </row>
    <row r="52" spans="1:7" x14ac:dyDescent="0.5">
      <c r="A52" s="8">
        <v>49</v>
      </c>
      <c r="B52" s="9">
        <f>COUNTIF($B$1:B51, "&gt;0")+1001</f>
        <v>1049</v>
      </c>
      <c r="C52" s="21">
        <v>115</v>
      </c>
      <c r="D52" s="21">
        <v>63</v>
      </c>
      <c r="E52" s="21">
        <v>52</v>
      </c>
      <c r="F52" s="27">
        <v>41</v>
      </c>
      <c r="G52" s="20">
        <f t="shared" si="0"/>
        <v>0.37674000000000002</v>
      </c>
    </row>
    <row r="53" spans="1:7" x14ac:dyDescent="0.5">
      <c r="A53" s="8">
        <v>50</v>
      </c>
      <c r="B53" s="9">
        <f>COUNTIF($B$1:B52, "&gt;0")+1001</f>
        <v>1050</v>
      </c>
      <c r="C53" s="23">
        <v>196</v>
      </c>
      <c r="D53" s="23">
        <v>61</v>
      </c>
      <c r="E53" s="23">
        <v>103</v>
      </c>
      <c r="F53" s="24">
        <v>150</v>
      </c>
      <c r="G53" s="20">
        <f t="shared" si="0"/>
        <v>1.231468</v>
      </c>
    </row>
    <row r="54" spans="1:7" x14ac:dyDescent="0.5">
      <c r="A54" s="8">
        <v>51</v>
      </c>
      <c r="B54" s="9">
        <f>COUNTIF($B$1:B53, "&gt;0")+1001</f>
        <v>1051</v>
      </c>
      <c r="C54" s="28">
        <v>82</v>
      </c>
      <c r="D54" s="28">
        <v>59</v>
      </c>
      <c r="E54" s="28">
        <v>43</v>
      </c>
      <c r="F54" s="29">
        <v>45</v>
      </c>
      <c r="G54" s="30">
        <f t="shared" si="0"/>
        <v>0.208034</v>
      </c>
    </row>
    <row r="55" spans="1:7" x14ac:dyDescent="0.5">
      <c r="A55" s="8">
        <v>52</v>
      </c>
      <c r="B55" s="9">
        <f>COUNTIF($B$1:B54, "&gt;0")+1001</f>
        <v>1052</v>
      </c>
      <c r="C55" s="28">
        <v>82</v>
      </c>
      <c r="D55" s="28">
        <v>59</v>
      </c>
      <c r="E55" s="28">
        <v>43</v>
      </c>
      <c r="F55" s="29">
        <v>36</v>
      </c>
      <c r="G55" s="30">
        <f t="shared" si="0"/>
        <v>0.208034</v>
      </c>
    </row>
    <row r="56" spans="1:7" x14ac:dyDescent="0.5">
      <c r="A56" s="8">
        <v>53</v>
      </c>
      <c r="B56" s="9">
        <f>COUNTIF($B$1:B55, "&gt;0")+1001</f>
        <v>1053</v>
      </c>
      <c r="C56" s="17">
        <v>37</v>
      </c>
      <c r="D56" s="17">
        <v>32</v>
      </c>
      <c r="E56" s="17">
        <v>20</v>
      </c>
      <c r="F56" s="31">
        <v>4</v>
      </c>
      <c r="G56" s="20">
        <f t="shared" si="0"/>
        <v>2.368E-2</v>
      </c>
    </row>
    <row r="57" spans="1:7" x14ac:dyDescent="0.5">
      <c r="A57" s="8">
        <v>54</v>
      </c>
      <c r="B57" s="9">
        <f>COUNTIF($B$1:B56, "&gt;0")+1001</f>
        <v>1054</v>
      </c>
      <c r="C57" s="32">
        <v>190</v>
      </c>
      <c r="D57" s="32">
        <v>65</v>
      </c>
      <c r="E57" s="32">
        <v>125</v>
      </c>
      <c r="F57" s="32">
        <v>200</v>
      </c>
      <c r="G57" s="20">
        <v>1.54375</v>
      </c>
    </row>
    <row r="58" spans="1:7" x14ac:dyDescent="0.5">
      <c r="A58" s="8">
        <v>55</v>
      </c>
      <c r="B58" s="9">
        <f>COUNTIF($B$1:B57, "&gt;0")+1001</f>
        <v>1055</v>
      </c>
      <c r="C58" s="32">
        <v>69</v>
      </c>
      <c r="D58" s="32">
        <v>110</v>
      </c>
      <c r="E58" s="32">
        <v>180</v>
      </c>
      <c r="F58" s="32">
        <v>213</v>
      </c>
      <c r="G58" s="20">
        <v>1.3662000000000001</v>
      </c>
    </row>
    <row r="59" spans="1:7" x14ac:dyDescent="0.5">
      <c r="A59" s="8">
        <v>56</v>
      </c>
      <c r="B59" s="9">
        <f>COUNTIF($B$1:B58, "&gt;0")+1001</f>
        <v>1056</v>
      </c>
      <c r="C59" s="33">
        <v>87</v>
      </c>
      <c r="D59" s="33">
        <v>56</v>
      </c>
      <c r="E59" s="33">
        <v>61</v>
      </c>
      <c r="F59" s="34">
        <v>65</v>
      </c>
      <c r="G59" s="33">
        <v>0.31785600000000003</v>
      </c>
    </row>
    <row r="60" spans="1:7" x14ac:dyDescent="0.5">
      <c r="A60" s="8">
        <v>57</v>
      </c>
      <c r="B60" s="9">
        <f>COUNTIF($B$1:B59, "&gt;0")+1001</f>
        <v>1057</v>
      </c>
      <c r="C60" s="21">
        <v>69</v>
      </c>
      <c r="D60" s="21">
        <v>59</v>
      </c>
      <c r="E60" s="21">
        <v>30</v>
      </c>
      <c r="F60" s="21">
        <v>32</v>
      </c>
      <c r="G60" s="20">
        <f t="shared" ref="G60:G123" si="1">PRODUCT(C60:E60)/1000000</f>
        <v>0.12213</v>
      </c>
    </row>
    <row r="61" spans="1:7" x14ac:dyDescent="0.5">
      <c r="A61" s="8">
        <v>58</v>
      </c>
      <c r="B61" s="9">
        <f>COUNTIF($B$1:B60, "&gt;0")+1001</f>
        <v>1058</v>
      </c>
      <c r="C61" s="35">
        <v>59</v>
      </c>
      <c r="D61" s="35">
        <v>81</v>
      </c>
      <c r="E61" s="35">
        <v>42</v>
      </c>
      <c r="F61" s="36">
        <v>35</v>
      </c>
      <c r="G61" s="16">
        <f t="shared" si="1"/>
        <v>0.20071800000000001</v>
      </c>
    </row>
    <row r="62" spans="1:7" x14ac:dyDescent="0.5">
      <c r="A62" s="8">
        <v>59</v>
      </c>
      <c r="B62" s="9">
        <f>COUNTIF($B$1:B61, "&gt;0")+1001</f>
        <v>1059</v>
      </c>
      <c r="C62" s="32">
        <v>46</v>
      </c>
      <c r="D62" s="32">
        <v>29</v>
      </c>
      <c r="E62" s="32">
        <v>37</v>
      </c>
      <c r="F62" s="32">
        <v>11</v>
      </c>
      <c r="G62" s="20">
        <f t="shared" si="1"/>
        <v>4.9357999999999999E-2</v>
      </c>
    </row>
    <row r="63" spans="1:7" x14ac:dyDescent="0.5">
      <c r="A63" s="8">
        <v>60</v>
      </c>
      <c r="B63" s="9">
        <f>COUNTIF($B$1:B62, "&gt;0")+1001</f>
        <v>1060</v>
      </c>
      <c r="C63" s="32">
        <v>46</v>
      </c>
      <c r="D63" s="32">
        <v>29</v>
      </c>
      <c r="E63" s="32">
        <v>37</v>
      </c>
      <c r="F63" s="32">
        <v>11</v>
      </c>
      <c r="G63" s="20">
        <f t="shared" si="1"/>
        <v>4.9357999999999999E-2</v>
      </c>
    </row>
    <row r="64" spans="1:7" x14ac:dyDescent="0.5">
      <c r="A64" s="8">
        <v>61</v>
      </c>
      <c r="B64" s="9">
        <f>COUNTIF($B$1:B63, "&gt;0")+1001</f>
        <v>1061</v>
      </c>
      <c r="C64" s="32">
        <v>46</v>
      </c>
      <c r="D64" s="32">
        <v>29</v>
      </c>
      <c r="E64" s="32">
        <v>37</v>
      </c>
      <c r="F64" s="32">
        <v>11</v>
      </c>
      <c r="G64" s="20">
        <f t="shared" si="1"/>
        <v>4.9357999999999999E-2</v>
      </c>
    </row>
    <row r="65" spans="1:7" x14ac:dyDescent="0.5">
      <c r="A65" s="8">
        <v>62</v>
      </c>
      <c r="B65" s="9">
        <f>COUNTIF($B$1:B64, "&gt;0")+1001</f>
        <v>1062</v>
      </c>
      <c r="C65" s="21">
        <v>40</v>
      </c>
      <c r="D65" s="21">
        <v>28</v>
      </c>
      <c r="E65" s="21">
        <v>40</v>
      </c>
      <c r="F65" s="27">
        <v>16</v>
      </c>
      <c r="G65" s="20">
        <f t="shared" si="1"/>
        <v>4.48E-2</v>
      </c>
    </row>
    <row r="66" spans="1:7" x14ac:dyDescent="0.5">
      <c r="A66" s="8">
        <v>63</v>
      </c>
      <c r="B66" s="9">
        <f>COUNTIF($B$1:B65, "&gt;0")+1001</f>
        <v>1063</v>
      </c>
      <c r="C66" s="21">
        <v>41</v>
      </c>
      <c r="D66" s="21">
        <v>22</v>
      </c>
      <c r="E66" s="21">
        <v>28</v>
      </c>
      <c r="F66" s="27">
        <v>10</v>
      </c>
      <c r="G66" s="20">
        <f t="shared" si="1"/>
        <v>2.5256000000000001E-2</v>
      </c>
    </row>
    <row r="67" spans="1:7" x14ac:dyDescent="0.5">
      <c r="A67" s="8">
        <v>64</v>
      </c>
      <c r="B67" s="9">
        <f>COUNTIF($B$1:B66, "&gt;0")+1001</f>
        <v>1064</v>
      </c>
      <c r="C67" s="32">
        <v>52</v>
      </c>
      <c r="D67" s="32">
        <v>25</v>
      </c>
      <c r="E67" s="32">
        <v>32</v>
      </c>
      <c r="F67" s="32">
        <v>15</v>
      </c>
      <c r="G67" s="20">
        <f t="shared" si="1"/>
        <v>4.1599999999999998E-2</v>
      </c>
    </row>
    <row r="68" spans="1:7" x14ac:dyDescent="0.5">
      <c r="A68" s="8">
        <v>65</v>
      </c>
      <c r="B68" s="9">
        <f>COUNTIF($B$1:B67, "&gt;0")+1001</f>
        <v>1065</v>
      </c>
      <c r="C68" s="21">
        <v>27</v>
      </c>
      <c r="D68" s="21">
        <v>27</v>
      </c>
      <c r="E68" s="21">
        <v>16</v>
      </c>
      <c r="F68" s="21">
        <v>12</v>
      </c>
      <c r="G68" s="20">
        <f t="shared" si="1"/>
        <v>1.1664000000000001E-2</v>
      </c>
    </row>
    <row r="69" spans="1:7" x14ac:dyDescent="0.5">
      <c r="A69" s="8">
        <v>66</v>
      </c>
      <c r="B69" s="9">
        <f>COUNTIF($B$1:B68, "&gt;0")+1001</f>
        <v>1066</v>
      </c>
      <c r="C69" s="21">
        <v>27</v>
      </c>
      <c r="D69" s="21">
        <v>27</v>
      </c>
      <c r="E69" s="21">
        <v>16</v>
      </c>
      <c r="F69" s="21">
        <v>12</v>
      </c>
      <c r="G69" s="20">
        <f t="shared" si="1"/>
        <v>1.1664000000000001E-2</v>
      </c>
    </row>
    <row r="70" spans="1:7" x14ac:dyDescent="0.5">
      <c r="A70" s="8">
        <v>67</v>
      </c>
      <c r="B70" s="9">
        <f>COUNTIF($B$1:B69, "&gt;0")+1001</f>
        <v>1067</v>
      </c>
      <c r="C70" s="21">
        <v>27</v>
      </c>
      <c r="D70" s="21">
        <v>27</v>
      </c>
      <c r="E70" s="21">
        <v>16</v>
      </c>
      <c r="F70" s="21">
        <v>12</v>
      </c>
      <c r="G70" s="20">
        <f t="shared" si="1"/>
        <v>1.1664000000000001E-2</v>
      </c>
    </row>
    <row r="71" spans="1:7" x14ac:dyDescent="0.5">
      <c r="A71" s="8">
        <v>68</v>
      </c>
      <c r="B71" s="9">
        <f>COUNTIF($B$1:B70, "&gt;0")+1001</f>
        <v>1068</v>
      </c>
      <c r="C71" s="32">
        <v>52</v>
      </c>
      <c r="D71" s="32">
        <v>43</v>
      </c>
      <c r="E71" s="32">
        <v>28</v>
      </c>
      <c r="F71" s="32">
        <v>23</v>
      </c>
      <c r="G71" s="20">
        <f t="shared" si="1"/>
        <v>6.2607999999999997E-2</v>
      </c>
    </row>
    <row r="72" spans="1:7" x14ac:dyDescent="0.5">
      <c r="A72" s="8">
        <v>69</v>
      </c>
      <c r="B72" s="9">
        <f>COUNTIF($B$1:B71, "&gt;0")+1001</f>
        <v>1069</v>
      </c>
      <c r="C72" s="33">
        <v>122</v>
      </c>
      <c r="D72" s="33">
        <v>80</v>
      </c>
      <c r="E72" s="33">
        <v>92</v>
      </c>
      <c r="F72" s="34">
        <v>100</v>
      </c>
      <c r="G72" s="20">
        <f t="shared" si="1"/>
        <v>0.89792000000000005</v>
      </c>
    </row>
    <row r="73" spans="1:7" x14ac:dyDescent="0.5">
      <c r="A73" s="8">
        <v>70</v>
      </c>
      <c r="B73" s="9">
        <f>COUNTIF($B$1:B72, "&gt;0")+1001</f>
        <v>1070</v>
      </c>
      <c r="C73" s="33">
        <v>122</v>
      </c>
      <c r="D73" s="33">
        <v>80</v>
      </c>
      <c r="E73" s="33">
        <v>92</v>
      </c>
      <c r="F73" s="34">
        <v>100</v>
      </c>
      <c r="G73" s="20">
        <f t="shared" si="1"/>
        <v>0.89792000000000005</v>
      </c>
    </row>
    <row r="74" spans="1:7" x14ac:dyDescent="0.5">
      <c r="A74" s="8">
        <v>71</v>
      </c>
      <c r="B74" s="9">
        <f>COUNTIF($B$1:B73, "&gt;0")+1001</f>
        <v>1071</v>
      </c>
      <c r="C74" s="37">
        <v>58</v>
      </c>
      <c r="D74" s="37">
        <v>53</v>
      </c>
      <c r="E74" s="37">
        <v>15</v>
      </c>
      <c r="F74" s="37">
        <v>16</v>
      </c>
      <c r="G74" s="20">
        <f t="shared" si="1"/>
        <v>4.6109999999999998E-2</v>
      </c>
    </row>
    <row r="75" spans="1:7" x14ac:dyDescent="0.5">
      <c r="A75" s="8">
        <v>72</v>
      </c>
      <c r="B75" s="9">
        <f>COUNTIF($B$1:B74, "&gt;0")+1001</f>
        <v>1072</v>
      </c>
      <c r="C75" s="37">
        <v>58</v>
      </c>
      <c r="D75" s="37">
        <v>53</v>
      </c>
      <c r="E75" s="37">
        <v>15</v>
      </c>
      <c r="F75" s="37">
        <v>28</v>
      </c>
      <c r="G75" s="20">
        <f t="shared" si="1"/>
        <v>4.6109999999999998E-2</v>
      </c>
    </row>
    <row r="76" spans="1:7" x14ac:dyDescent="0.5">
      <c r="A76" s="8">
        <v>73</v>
      </c>
      <c r="B76" s="9">
        <f>COUNTIF($B$1:B75, "&gt;0")+1001</f>
        <v>1073</v>
      </c>
      <c r="C76" s="33">
        <v>170</v>
      </c>
      <c r="D76" s="33">
        <v>109</v>
      </c>
      <c r="E76" s="33">
        <v>67</v>
      </c>
      <c r="F76" s="33">
        <v>203</v>
      </c>
      <c r="G76" s="20">
        <f t="shared" si="1"/>
        <v>1.2415099999999999</v>
      </c>
    </row>
    <row r="77" spans="1:7" x14ac:dyDescent="0.5">
      <c r="A77" s="8">
        <v>74</v>
      </c>
      <c r="B77" s="9">
        <f>COUNTIF($B$1:B76, "&gt;0")+1001</f>
        <v>1074</v>
      </c>
      <c r="C77" s="21">
        <v>54</v>
      </c>
      <c r="D77" s="21">
        <v>50</v>
      </c>
      <c r="E77" s="21">
        <v>32</v>
      </c>
      <c r="F77" s="27">
        <v>22</v>
      </c>
      <c r="G77" s="20">
        <f t="shared" si="1"/>
        <v>8.6400000000000005E-2</v>
      </c>
    </row>
    <row r="78" spans="1:7" x14ac:dyDescent="0.5">
      <c r="A78" s="8">
        <v>75</v>
      </c>
      <c r="B78" s="9">
        <f>COUNTIF($B$1:B77, "&gt;0")+1001</f>
        <v>1075</v>
      </c>
      <c r="C78" s="38">
        <v>54</v>
      </c>
      <c r="D78" s="38">
        <v>40</v>
      </c>
      <c r="E78" s="38">
        <v>15</v>
      </c>
      <c r="F78" s="38">
        <v>10</v>
      </c>
      <c r="G78" s="20">
        <f t="shared" si="1"/>
        <v>3.2399999999999998E-2</v>
      </c>
    </row>
    <row r="79" spans="1:7" x14ac:dyDescent="0.5">
      <c r="A79" s="8">
        <v>76</v>
      </c>
      <c r="B79" s="9">
        <f>COUNTIF($B$1:B78, "&gt;0")+1001</f>
        <v>1076</v>
      </c>
      <c r="C79" s="39">
        <v>62</v>
      </c>
      <c r="D79" s="39">
        <v>54</v>
      </c>
      <c r="E79" s="39">
        <v>34</v>
      </c>
      <c r="F79" s="27">
        <v>39</v>
      </c>
      <c r="G79" s="20">
        <f t="shared" si="1"/>
        <v>0.113832</v>
      </c>
    </row>
    <row r="80" spans="1:7" x14ac:dyDescent="0.5">
      <c r="A80" s="8">
        <v>77</v>
      </c>
      <c r="B80" s="9">
        <f>COUNTIF($B$1:B79, "&gt;0")+1001</f>
        <v>1077</v>
      </c>
      <c r="C80" s="39">
        <v>62</v>
      </c>
      <c r="D80" s="39">
        <v>54</v>
      </c>
      <c r="E80" s="39">
        <v>34</v>
      </c>
      <c r="F80" s="27">
        <v>39</v>
      </c>
      <c r="G80" s="20">
        <f t="shared" si="1"/>
        <v>0.113832</v>
      </c>
    </row>
    <row r="81" spans="1:7" x14ac:dyDescent="0.5">
      <c r="A81" s="8">
        <v>78</v>
      </c>
      <c r="B81" s="9">
        <f>COUNTIF($B$1:B80, "&gt;0")+1001</f>
        <v>1078</v>
      </c>
      <c r="C81" s="39">
        <v>62</v>
      </c>
      <c r="D81" s="39">
        <v>54</v>
      </c>
      <c r="E81" s="39">
        <v>34</v>
      </c>
      <c r="F81" s="27">
        <v>39</v>
      </c>
      <c r="G81" s="20">
        <f t="shared" si="1"/>
        <v>0.113832</v>
      </c>
    </row>
    <row r="82" spans="1:7" x14ac:dyDescent="0.5">
      <c r="A82" s="8">
        <v>79</v>
      </c>
      <c r="B82" s="9">
        <f>COUNTIF($B$1:B81, "&gt;0")+1001</f>
        <v>1079</v>
      </c>
      <c r="C82" s="39">
        <v>62</v>
      </c>
      <c r="D82" s="39">
        <v>54</v>
      </c>
      <c r="E82" s="39">
        <v>34</v>
      </c>
      <c r="F82" s="27">
        <v>39</v>
      </c>
      <c r="G82" s="20">
        <f t="shared" si="1"/>
        <v>0.113832</v>
      </c>
    </row>
    <row r="83" spans="1:7" x14ac:dyDescent="0.5">
      <c r="A83" s="8">
        <v>80</v>
      </c>
      <c r="B83" s="9">
        <f>COUNTIF($B$1:B82, "&gt;0")+1001</f>
        <v>1080</v>
      </c>
      <c r="C83" s="39">
        <v>62</v>
      </c>
      <c r="D83" s="39">
        <v>54</v>
      </c>
      <c r="E83" s="39">
        <v>34</v>
      </c>
      <c r="F83" s="27">
        <v>39</v>
      </c>
      <c r="G83" s="20">
        <f t="shared" si="1"/>
        <v>0.113832</v>
      </c>
    </row>
    <row r="84" spans="1:7" x14ac:dyDescent="0.5">
      <c r="A84" s="8">
        <v>81</v>
      </c>
      <c r="B84" s="9">
        <f>COUNTIF($B$1:B83, "&gt;0")+1001</f>
        <v>1081</v>
      </c>
      <c r="C84" s="21">
        <v>54</v>
      </c>
      <c r="D84" s="21">
        <v>44</v>
      </c>
      <c r="E84" s="21">
        <v>34</v>
      </c>
      <c r="F84" s="27">
        <v>17</v>
      </c>
      <c r="G84" s="20">
        <f t="shared" si="1"/>
        <v>8.0783999999999995E-2</v>
      </c>
    </row>
    <row r="85" spans="1:7" x14ac:dyDescent="0.5">
      <c r="A85" s="8">
        <v>82</v>
      </c>
      <c r="B85" s="9">
        <f>COUNTIF($B$1:B84, "&gt;0")+1001</f>
        <v>1082</v>
      </c>
      <c r="C85" s="21">
        <v>54</v>
      </c>
      <c r="D85" s="21">
        <v>44</v>
      </c>
      <c r="E85" s="21">
        <v>34</v>
      </c>
      <c r="F85" s="27">
        <v>17</v>
      </c>
      <c r="G85" s="20">
        <f t="shared" si="1"/>
        <v>8.0783999999999995E-2</v>
      </c>
    </row>
    <row r="86" spans="1:7" x14ac:dyDescent="0.5">
      <c r="A86" s="8">
        <v>83</v>
      </c>
      <c r="B86" s="9">
        <f>COUNTIF($B$1:B85, "&gt;0")+1001</f>
        <v>1083</v>
      </c>
      <c r="C86" s="32">
        <v>80</v>
      </c>
      <c r="D86" s="32">
        <v>70</v>
      </c>
      <c r="E86" s="32">
        <v>80</v>
      </c>
      <c r="F86" s="32">
        <v>52</v>
      </c>
      <c r="G86" s="20">
        <f t="shared" si="1"/>
        <v>0.44800000000000001</v>
      </c>
    </row>
    <row r="87" spans="1:7" x14ac:dyDescent="0.5">
      <c r="A87" s="8">
        <v>84</v>
      </c>
      <c r="B87" s="9">
        <f>COUNTIF($B$1:B86, "&gt;0")+1001</f>
        <v>1084</v>
      </c>
      <c r="C87" s="17">
        <v>7</v>
      </c>
      <c r="D87" s="17">
        <v>150</v>
      </c>
      <c r="E87" s="17">
        <v>7</v>
      </c>
      <c r="F87" s="17">
        <v>4</v>
      </c>
      <c r="G87" s="20">
        <f t="shared" si="1"/>
        <v>7.3499999999999998E-3</v>
      </c>
    </row>
    <row r="88" spans="1:7" x14ac:dyDescent="0.5">
      <c r="A88" s="8">
        <v>85</v>
      </c>
      <c r="B88" s="9">
        <f>COUNTIF($B$1:B87, "&gt;0")+1001</f>
        <v>1085</v>
      </c>
      <c r="C88" s="17">
        <v>7</v>
      </c>
      <c r="D88" s="17">
        <v>150</v>
      </c>
      <c r="E88" s="17">
        <v>7</v>
      </c>
      <c r="F88" s="17">
        <v>4</v>
      </c>
      <c r="G88" s="20">
        <f t="shared" si="1"/>
        <v>7.3499999999999998E-3</v>
      </c>
    </row>
    <row r="89" spans="1:7" x14ac:dyDescent="0.5">
      <c r="A89" s="8">
        <v>86</v>
      </c>
      <c r="B89" s="9">
        <f>COUNTIF($B$1:B88, "&gt;0")+1001</f>
        <v>1086</v>
      </c>
      <c r="C89" s="17">
        <v>7</v>
      </c>
      <c r="D89" s="17">
        <v>150</v>
      </c>
      <c r="E89" s="17">
        <v>7</v>
      </c>
      <c r="F89" s="17">
        <v>4</v>
      </c>
      <c r="G89" s="20">
        <f t="shared" si="1"/>
        <v>7.3499999999999998E-3</v>
      </c>
    </row>
    <row r="90" spans="1:7" x14ac:dyDescent="0.5">
      <c r="A90" s="8">
        <v>87</v>
      </c>
      <c r="B90" s="9">
        <f>COUNTIF($B$1:B89, "&gt;0")+1001</f>
        <v>1087</v>
      </c>
      <c r="C90" s="33">
        <v>122</v>
      </c>
      <c r="D90" s="33">
        <v>80</v>
      </c>
      <c r="E90" s="33">
        <v>92</v>
      </c>
      <c r="F90" s="34">
        <v>125</v>
      </c>
      <c r="G90" s="20">
        <f t="shared" si="1"/>
        <v>0.89792000000000005</v>
      </c>
    </row>
    <row r="91" spans="1:7" x14ac:dyDescent="0.5">
      <c r="A91" s="8">
        <v>88</v>
      </c>
      <c r="B91" s="9">
        <f>COUNTIF($B$1:B90, "&gt;0")+1001</f>
        <v>1088</v>
      </c>
      <c r="C91" s="21">
        <v>54</v>
      </c>
      <c r="D91" s="21">
        <v>44</v>
      </c>
      <c r="E91" s="21">
        <v>34</v>
      </c>
      <c r="F91" s="27">
        <v>50</v>
      </c>
      <c r="G91" s="20">
        <f t="shared" si="1"/>
        <v>8.0783999999999995E-2</v>
      </c>
    </row>
    <row r="92" spans="1:7" x14ac:dyDescent="0.5">
      <c r="A92" s="8">
        <v>89</v>
      </c>
      <c r="B92" s="9">
        <f>COUNTIF($B$1:B91, "&gt;0")+1001</f>
        <v>1089</v>
      </c>
      <c r="C92" s="40">
        <v>15</v>
      </c>
      <c r="D92" s="40">
        <v>37</v>
      </c>
      <c r="E92" s="40">
        <v>18</v>
      </c>
      <c r="F92" s="40">
        <v>2</v>
      </c>
      <c r="G92" s="20">
        <f t="shared" si="1"/>
        <v>9.9900000000000006E-3</v>
      </c>
    </row>
    <row r="93" spans="1:7" x14ac:dyDescent="0.5">
      <c r="A93" s="8">
        <v>90</v>
      </c>
      <c r="B93" s="9">
        <f>COUNTIF($B$1:B92, "&gt;0")+1001</f>
        <v>1090</v>
      </c>
      <c r="C93" s="21">
        <v>120</v>
      </c>
      <c r="D93" s="21">
        <v>80</v>
      </c>
      <c r="E93" s="21">
        <v>110</v>
      </c>
      <c r="F93" s="41">
        <v>160</v>
      </c>
      <c r="G93" s="20">
        <f t="shared" si="1"/>
        <v>1.056</v>
      </c>
    </row>
    <row r="94" spans="1:7" x14ac:dyDescent="0.5">
      <c r="A94" s="8">
        <v>91</v>
      </c>
      <c r="B94" s="9">
        <f>COUNTIF($B$1:B93, "&gt;0")+1001</f>
        <v>1091</v>
      </c>
      <c r="C94" s="21">
        <v>56</v>
      </c>
      <c r="D94" s="21">
        <v>19</v>
      </c>
      <c r="E94" s="21">
        <v>80</v>
      </c>
      <c r="F94" s="21">
        <v>17</v>
      </c>
      <c r="G94" s="20">
        <f t="shared" si="1"/>
        <v>8.5120000000000001E-2</v>
      </c>
    </row>
    <row r="95" spans="1:7" x14ac:dyDescent="0.5">
      <c r="A95" s="8">
        <v>92</v>
      </c>
      <c r="B95" s="9">
        <f>COUNTIF($B$1:B94, "&gt;0")+1001</f>
        <v>1092</v>
      </c>
      <c r="C95" s="21">
        <v>56</v>
      </c>
      <c r="D95" s="21">
        <v>19</v>
      </c>
      <c r="E95" s="21">
        <v>80</v>
      </c>
      <c r="F95" s="21">
        <v>17</v>
      </c>
      <c r="G95" s="20">
        <f t="shared" si="1"/>
        <v>8.5120000000000001E-2</v>
      </c>
    </row>
    <row r="96" spans="1:7" x14ac:dyDescent="0.5">
      <c r="A96" s="8">
        <v>93</v>
      </c>
      <c r="B96" s="9">
        <f>COUNTIF($B$1:B95, "&gt;0")+1001</f>
        <v>1093</v>
      </c>
      <c r="C96" s="17">
        <v>114</v>
      </c>
      <c r="D96" s="17">
        <v>70</v>
      </c>
      <c r="E96" s="17">
        <v>60</v>
      </c>
      <c r="F96" s="17">
        <v>53</v>
      </c>
      <c r="G96" s="20">
        <f t="shared" si="1"/>
        <v>0.4788</v>
      </c>
    </row>
    <row r="97" spans="1:7" x14ac:dyDescent="0.5">
      <c r="A97" s="8">
        <v>94</v>
      </c>
      <c r="B97" s="9">
        <f>COUNTIF($B$1:B96, "&gt;0")+1001</f>
        <v>1094</v>
      </c>
      <c r="C97" s="42">
        <v>56</v>
      </c>
      <c r="D97" s="42">
        <v>19</v>
      </c>
      <c r="E97" s="42">
        <v>80</v>
      </c>
      <c r="F97" s="42">
        <v>20</v>
      </c>
      <c r="G97" s="20">
        <f t="shared" si="1"/>
        <v>8.5120000000000001E-2</v>
      </c>
    </row>
    <row r="98" spans="1:7" x14ac:dyDescent="0.5">
      <c r="A98" s="8">
        <v>95</v>
      </c>
      <c r="B98" s="9">
        <f>COUNTIF($B$1:B97, "&gt;0")+1001</f>
        <v>1095</v>
      </c>
      <c r="C98" s="14">
        <v>100</v>
      </c>
      <c r="D98" s="14">
        <v>120</v>
      </c>
      <c r="E98" s="14">
        <v>50</v>
      </c>
      <c r="F98" s="15">
        <v>62</v>
      </c>
      <c r="G98" s="20">
        <f t="shared" si="1"/>
        <v>0.6</v>
      </c>
    </row>
    <row r="99" spans="1:7" x14ac:dyDescent="0.5">
      <c r="A99" s="8">
        <v>96</v>
      </c>
      <c r="B99" s="9">
        <f>COUNTIF($B$1:B98, "&gt;0")+1001</f>
        <v>1096</v>
      </c>
      <c r="C99" s="14">
        <v>55</v>
      </c>
      <c r="D99" s="14">
        <v>43</v>
      </c>
      <c r="E99" s="14">
        <v>28</v>
      </c>
      <c r="F99" s="15">
        <v>14</v>
      </c>
      <c r="G99" s="20">
        <f t="shared" si="1"/>
        <v>6.6220000000000001E-2</v>
      </c>
    </row>
    <row r="100" spans="1:7" x14ac:dyDescent="0.5">
      <c r="A100" s="8">
        <v>97</v>
      </c>
      <c r="B100" s="9">
        <f>COUNTIF($B$1:B99, "&gt;0")+1001</f>
        <v>1097</v>
      </c>
      <c r="C100" s="14">
        <v>110</v>
      </c>
      <c r="D100" s="14">
        <v>20</v>
      </c>
      <c r="E100" s="14">
        <v>20</v>
      </c>
      <c r="F100" s="15">
        <v>6</v>
      </c>
      <c r="G100" s="20">
        <f t="shared" si="1"/>
        <v>4.3999999999999997E-2</v>
      </c>
    </row>
    <row r="101" spans="1:7" x14ac:dyDescent="0.5">
      <c r="A101" s="8">
        <v>98</v>
      </c>
      <c r="B101" s="9">
        <f>COUNTIF($B$1:B100, "&gt;0")+1001</f>
        <v>1098</v>
      </c>
      <c r="C101" s="9">
        <v>87</v>
      </c>
      <c r="D101" s="9">
        <v>86</v>
      </c>
      <c r="E101" s="9">
        <v>53</v>
      </c>
      <c r="F101" s="9">
        <v>104</v>
      </c>
      <c r="G101" s="20">
        <f t="shared" si="1"/>
        <v>0.39654600000000001</v>
      </c>
    </row>
    <row r="102" spans="1:7" x14ac:dyDescent="0.5">
      <c r="A102" s="8">
        <v>99</v>
      </c>
      <c r="B102" s="9">
        <f>COUNTIF($B$1:B101, "&gt;0")+1001</f>
        <v>1099</v>
      </c>
      <c r="C102" s="33">
        <v>62</v>
      </c>
      <c r="D102" s="33">
        <v>62</v>
      </c>
      <c r="E102" s="33">
        <v>30</v>
      </c>
      <c r="F102" s="34">
        <v>48</v>
      </c>
      <c r="G102" s="20">
        <f t="shared" si="1"/>
        <v>0.11532000000000001</v>
      </c>
    </row>
    <row r="103" spans="1:7" x14ac:dyDescent="0.5">
      <c r="A103" s="8">
        <v>100</v>
      </c>
      <c r="B103" s="9">
        <f>COUNTIF($B$1:B102, "&gt;0")+1001</f>
        <v>1100</v>
      </c>
      <c r="C103" s="33">
        <v>62</v>
      </c>
      <c r="D103" s="33">
        <v>62</v>
      </c>
      <c r="E103" s="33">
        <v>30</v>
      </c>
      <c r="F103" s="34">
        <v>48</v>
      </c>
      <c r="G103" s="20">
        <f t="shared" si="1"/>
        <v>0.11532000000000001</v>
      </c>
    </row>
    <row r="104" spans="1:7" x14ac:dyDescent="0.5">
      <c r="A104" s="8">
        <v>101</v>
      </c>
      <c r="B104" s="9">
        <f>COUNTIF($B$1:B103, "&gt;0")+1001</f>
        <v>1101</v>
      </c>
      <c r="C104" s="33">
        <v>62</v>
      </c>
      <c r="D104" s="33">
        <v>62</v>
      </c>
      <c r="E104" s="33">
        <v>30</v>
      </c>
      <c r="F104" s="34">
        <v>48</v>
      </c>
      <c r="G104" s="20">
        <f t="shared" si="1"/>
        <v>0.11532000000000001</v>
      </c>
    </row>
    <row r="105" spans="1:7" x14ac:dyDescent="0.5">
      <c r="A105" s="8">
        <v>102</v>
      </c>
      <c r="B105" s="9">
        <f>COUNTIF($B$1:B104, "&gt;0")+1001</f>
        <v>1102</v>
      </c>
      <c r="C105" s="33">
        <v>62</v>
      </c>
      <c r="D105" s="33">
        <v>62</v>
      </c>
      <c r="E105" s="33">
        <v>30</v>
      </c>
      <c r="F105" s="34">
        <v>48</v>
      </c>
      <c r="G105" s="20">
        <f t="shared" si="1"/>
        <v>0.11532000000000001</v>
      </c>
    </row>
    <row r="106" spans="1:7" x14ac:dyDescent="0.5">
      <c r="A106" s="8">
        <v>103</v>
      </c>
      <c r="B106" s="9">
        <f>COUNTIF($B$1:B105, "&gt;0")+1001</f>
        <v>1103</v>
      </c>
      <c r="C106" s="33">
        <v>62</v>
      </c>
      <c r="D106" s="33">
        <v>62</v>
      </c>
      <c r="E106" s="33">
        <v>30</v>
      </c>
      <c r="F106" s="34">
        <v>48</v>
      </c>
      <c r="G106" s="20">
        <f t="shared" si="1"/>
        <v>0.11532000000000001</v>
      </c>
    </row>
    <row r="107" spans="1:7" x14ac:dyDescent="0.5">
      <c r="A107" s="8">
        <v>104</v>
      </c>
      <c r="B107" s="9">
        <f>COUNTIF($B$1:B106, "&gt;0")+1001</f>
        <v>1104</v>
      </c>
      <c r="C107" s="33">
        <v>62</v>
      </c>
      <c r="D107" s="33">
        <v>62</v>
      </c>
      <c r="E107" s="33">
        <v>30</v>
      </c>
      <c r="F107" s="34">
        <v>48</v>
      </c>
      <c r="G107" s="20">
        <f t="shared" si="1"/>
        <v>0.11532000000000001</v>
      </c>
    </row>
    <row r="108" spans="1:7" x14ac:dyDescent="0.5">
      <c r="A108" s="8">
        <v>105</v>
      </c>
      <c r="B108" s="9">
        <f>COUNTIF($B$1:B107, "&gt;0")+1001</f>
        <v>1105</v>
      </c>
      <c r="C108" s="33">
        <v>62</v>
      </c>
      <c r="D108" s="33">
        <v>62</v>
      </c>
      <c r="E108" s="33">
        <v>30</v>
      </c>
      <c r="F108" s="34">
        <v>48</v>
      </c>
      <c r="G108" s="20">
        <f t="shared" si="1"/>
        <v>0.11532000000000001</v>
      </c>
    </row>
    <row r="109" spans="1:7" x14ac:dyDescent="0.5">
      <c r="A109" s="8">
        <v>106</v>
      </c>
      <c r="B109" s="9">
        <f>COUNTIF($B$1:B108, "&gt;0")+1001</f>
        <v>1106</v>
      </c>
      <c r="C109" s="33">
        <v>62</v>
      </c>
      <c r="D109" s="33">
        <v>62</v>
      </c>
      <c r="E109" s="33">
        <v>30</v>
      </c>
      <c r="F109" s="34">
        <v>48</v>
      </c>
      <c r="G109" s="20">
        <f t="shared" si="1"/>
        <v>0.11532000000000001</v>
      </c>
    </row>
    <row r="110" spans="1:7" x14ac:dyDescent="0.5">
      <c r="A110" s="8">
        <v>107</v>
      </c>
      <c r="B110" s="9">
        <f>COUNTIF($B$1:B109, "&gt;0")+1001</f>
        <v>1107</v>
      </c>
      <c r="C110" s="33">
        <v>62</v>
      </c>
      <c r="D110" s="33">
        <v>62</v>
      </c>
      <c r="E110" s="33">
        <v>30</v>
      </c>
      <c r="F110" s="34">
        <v>48</v>
      </c>
      <c r="G110" s="20">
        <f t="shared" si="1"/>
        <v>0.11532000000000001</v>
      </c>
    </row>
    <row r="111" spans="1:7" x14ac:dyDescent="0.5">
      <c r="A111" s="8">
        <v>108</v>
      </c>
      <c r="B111" s="9">
        <f>COUNTIF($B$1:B110, "&gt;0")+1001</f>
        <v>1108</v>
      </c>
      <c r="C111" s="33">
        <v>62</v>
      </c>
      <c r="D111" s="33">
        <v>62</v>
      </c>
      <c r="E111" s="33">
        <v>30</v>
      </c>
      <c r="F111" s="34">
        <v>32</v>
      </c>
      <c r="G111" s="20">
        <f t="shared" si="1"/>
        <v>0.11532000000000001</v>
      </c>
    </row>
    <row r="112" spans="1:7" x14ac:dyDescent="0.5">
      <c r="A112" s="8">
        <v>109</v>
      </c>
      <c r="B112" s="9">
        <f>COUNTIF($B$1:B111, "&gt;0")+1001</f>
        <v>1109</v>
      </c>
      <c r="C112" s="33">
        <v>62</v>
      </c>
      <c r="D112" s="33">
        <v>62</v>
      </c>
      <c r="E112" s="33">
        <v>30</v>
      </c>
      <c r="F112" s="34">
        <v>32</v>
      </c>
      <c r="G112" s="20">
        <f t="shared" si="1"/>
        <v>0.11532000000000001</v>
      </c>
    </row>
    <row r="113" spans="1:7" x14ac:dyDescent="0.5">
      <c r="A113" s="8">
        <v>110</v>
      </c>
      <c r="B113" s="9">
        <f>COUNTIF($B$1:B112, "&gt;0")+1001</f>
        <v>1110</v>
      </c>
      <c r="C113" s="33">
        <v>62</v>
      </c>
      <c r="D113" s="33">
        <v>62</v>
      </c>
      <c r="E113" s="33">
        <v>30</v>
      </c>
      <c r="F113" s="34">
        <v>32</v>
      </c>
      <c r="G113" s="20">
        <f t="shared" si="1"/>
        <v>0.11532000000000001</v>
      </c>
    </row>
    <row r="114" spans="1:7" x14ac:dyDescent="0.5">
      <c r="A114" s="8">
        <v>111</v>
      </c>
      <c r="B114" s="9">
        <f>COUNTIF($B$1:B113, "&gt;0")+1001</f>
        <v>1111</v>
      </c>
      <c r="C114" s="33">
        <v>62</v>
      </c>
      <c r="D114" s="33">
        <v>62</v>
      </c>
      <c r="E114" s="33">
        <v>30</v>
      </c>
      <c r="F114" s="34">
        <v>32</v>
      </c>
      <c r="G114" s="20">
        <f t="shared" si="1"/>
        <v>0.11532000000000001</v>
      </c>
    </row>
    <row r="115" spans="1:7" x14ac:dyDescent="0.5">
      <c r="A115" s="8">
        <v>112</v>
      </c>
      <c r="B115" s="9">
        <f>COUNTIF($B$1:B114, "&gt;0")+1001</f>
        <v>1112</v>
      </c>
      <c r="C115" s="33">
        <v>62</v>
      </c>
      <c r="D115" s="33">
        <v>62</v>
      </c>
      <c r="E115" s="33">
        <v>30</v>
      </c>
      <c r="F115" s="34">
        <v>32</v>
      </c>
      <c r="G115" s="20">
        <f t="shared" si="1"/>
        <v>0.11532000000000001</v>
      </c>
    </row>
    <row r="116" spans="1:7" x14ac:dyDescent="0.5">
      <c r="A116" s="8">
        <v>113</v>
      </c>
      <c r="B116" s="9">
        <f>COUNTIF($B$1:B115, "&gt;0")+1001</f>
        <v>1113</v>
      </c>
      <c r="C116" s="33">
        <v>62</v>
      </c>
      <c r="D116" s="33">
        <v>62</v>
      </c>
      <c r="E116" s="33">
        <v>30</v>
      </c>
      <c r="F116" s="34">
        <v>32</v>
      </c>
      <c r="G116" s="20">
        <f t="shared" si="1"/>
        <v>0.11532000000000001</v>
      </c>
    </row>
    <row r="117" spans="1:7" x14ac:dyDescent="0.5">
      <c r="A117" s="8">
        <v>114</v>
      </c>
      <c r="B117" s="9">
        <f>COUNTIF($B$1:B116, "&gt;0")+1001</f>
        <v>1114</v>
      </c>
      <c r="C117" s="33">
        <v>62</v>
      </c>
      <c r="D117" s="33">
        <v>62</v>
      </c>
      <c r="E117" s="33">
        <v>30</v>
      </c>
      <c r="F117" s="34">
        <v>32</v>
      </c>
      <c r="G117" s="20">
        <f t="shared" si="1"/>
        <v>0.11532000000000001</v>
      </c>
    </row>
    <row r="118" spans="1:7" x14ac:dyDescent="0.5">
      <c r="A118" s="8">
        <v>115</v>
      </c>
      <c r="B118" s="9">
        <f>COUNTIF($B$1:B117, "&gt;0")+1001</f>
        <v>1115</v>
      </c>
      <c r="C118" s="33">
        <v>62</v>
      </c>
      <c r="D118" s="33">
        <v>62</v>
      </c>
      <c r="E118" s="33">
        <v>30</v>
      </c>
      <c r="F118" s="34">
        <v>32</v>
      </c>
      <c r="G118" s="20">
        <f t="shared" si="1"/>
        <v>0.11532000000000001</v>
      </c>
    </row>
    <row r="119" spans="1:7" x14ac:dyDescent="0.5">
      <c r="A119" s="8">
        <v>116</v>
      </c>
      <c r="B119" s="9">
        <f>COUNTIF($B$1:B118, "&gt;0")+1001</f>
        <v>1116</v>
      </c>
      <c r="C119" s="33">
        <v>62</v>
      </c>
      <c r="D119" s="33">
        <v>62</v>
      </c>
      <c r="E119" s="33">
        <v>30</v>
      </c>
      <c r="F119" s="34">
        <v>32</v>
      </c>
      <c r="G119" s="20">
        <f t="shared" si="1"/>
        <v>0.11532000000000001</v>
      </c>
    </row>
    <row r="120" spans="1:7" x14ac:dyDescent="0.5">
      <c r="A120" s="8">
        <v>117</v>
      </c>
      <c r="B120" s="9">
        <f>COUNTIF($B$1:B119, "&gt;0")+1001</f>
        <v>1117</v>
      </c>
      <c r="C120" s="33">
        <v>62</v>
      </c>
      <c r="D120" s="33">
        <v>62</v>
      </c>
      <c r="E120" s="33">
        <v>30</v>
      </c>
      <c r="F120" s="34">
        <v>32</v>
      </c>
      <c r="G120" s="20">
        <f t="shared" si="1"/>
        <v>0.11532000000000001</v>
      </c>
    </row>
    <row r="121" spans="1:7" x14ac:dyDescent="0.5">
      <c r="A121" s="8">
        <v>118</v>
      </c>
      <c r="B121" s="9">
        <f>COUNTIF($B$1:B120, "&gt;0")+1001</f>
        <v>1118</v>
      </c>
      <c r="C121" s="33">
        <v>62</v>
      </c>
      <c r="D121" s="33">
        <v>62</v>
      </c>
      <c r="E121" s="33">
        <v>30</v>
      </c>
      <c r="F121" s="34">
        <v>32</v>
      </c>
      <c r="G121" s="20">
        <f t="shared" si="1"/>
        <v>0.11532000000000001</v>
      </c>
    </row>
    <row r="122" spans="1:7" x14ac:dyDescent="0.5">
      <c r="A122" s="8">
        <v>119</v>
      </c>
      <c r="B122" s="9">
        <f>COUNTIF($B$1:B121, "&gt;0")+1001</f>
        <v>1119</v>
      </c>
      <c r="C122" s="33">
        <v>62</v>
      </c>
      <c r="D122" s="33">
        <v>62</v>
      </c>
      <c r="E122" s="33">
        <v>30</v>
      </c>
      <c r="F122" s="34">
        <v>32</v>
      </c>
      <c r="G122" s="20">
        <f t="shared" si="1"/>
        <v>0.11532000000000001</v>
      </c>
    </row>
    <row r="123" spans="1:7" x14ac:dyDescent="0.5">
      <c r="A123" s="8">
        <v>120</v>
      </c>
      <c r="B123" s="9">
        <f>COUNTIF($B$1:B122, "&gt;0")+1001</f>
        <v>1120</v>
      </c>
      <c r="C123" s="33">
        <v>62</v>
      </c>
      <c r="D123" s="33">
        <v>62</v>
      </c>
      <c r="E123" s="33">
        <v>30</v>
      </c>
      <c r="F123" s="34">
        <v>32</v>
      </c>
      <c r="G123" s="20">
        <f t="shared" si="1"/>
        <v>0.11532000000000001</v>
      </c>
    </row>
    <row r="124" spans="1:7" x14ac:dyDescent="0.5">
      <c r="A124" s="8">
        <v>121</v>
      </c>
      <c r="B124" s="9">
        <f>COUNTIF($B$1:B123, "&gt;0")+1001</f>
        <v>1121</v>
      </c>
      <c r="C124" s="33">
        <v>62</v>
      </c>
      <c r="D124" s="33">
        <v>62</v>
      </c>
      <c r="E124" s="33">
        <v>30</v>
      </c>
      <c r="F124" s="34">
        <v>32</v>
      </c>
      <c r="G124" s="20">
        <f t="shared" ref="G124:G187" si="2">PRODUCT(C124:E124)/1000000</f>
        <v>0.11532000000000001</v>
      </c>
    </row>
    <row r="125" spans="1:7" x14ac:dyDescent="0.5">
      <c r="A125" s="8">
        <v>122</v>
      </c>
      <c r="B125" s="9">
        <f>COUNTIF($B$1:B124, "&gt;0")+1001</f>
        <v>1122</v>
      </c>
      <c r="C125" s="33">
        <v>62</v>
      </c>
      <c r="D125" s="33">
        <v>62</v>
      </c>
      <c r="E125" s="33">
        <v>30</v>
      </c>
      <c r="F125" s="34">
        <v>32</v>
      </c>
      <c r="G125" s="20">
        <f t="shared" si="2"/>
        <v>0.11532000000000001</v>
      </c>
    </row>
    <row r="126" spans="1:7" x14ac:dyDescent="0.5">
      <c r="A126" s="8">
        <v>123</v>
      </c>
      <c r="B126" s="9">
        <f>COUNTIF($B$1:B125, "&gt;0")+1001</f>
        <v>1123</v>
      </c>
      <c r="C126" s="33">
        <v>62</v>
      </c>
      <c r="D126" s="33">
        <v>62</v>
      </c>
      <c r="E126" s="33">
        <v>30</v>
      </c>
      <c r="F126" s="34">
        <v>32</v>
      </c>
      <c r="G126" s="20">
        <f t="shared" si="2"/>
        <v>0.11532000000000001</v>
      </c>
    </row>
    <row r="127" spans="1:7" x14ac:dyDescent="0.5">
      <c r="A127" s="8">
        <v>124</v>
      </c>
      <c r="B127" s="9">
        <f>COUNTIF($B$1:B126, "&gt;0")+1001</f>
        <v>1124</v>
      </c>
      <c r="C127" s="33">
        <v>62</v>
      </c>
      <c r="D127" s="33">
        <v>62</v>
      </c>
      <c r="E127" s="33">
        <v>30</v>
      </c>
      <c r="F127" s="34">
        <v>32</v>
      </c>
      <c r="G127" s="20">
        <f t="shared" si="2"/>
        <v>0.11532000000000001</v>
      </c>
    </row>
    <row r="128" spans="1:7" x14ac:dyDescent="0.5">
      <c r="A128" s="8">
        <v>125</v>
      </c>
      <c r="B128" s="9">
        <f>COUNTIF($B$1:B127, "&gt;0")+1001</f>
        <v>1125</v>
      </c>
      <c r="C128" s="33">
        <v>62</v>
      </c>
      <c r="D128" s="33">
        <v>62</v>
      </c>
      <c r="E128" s="33">
        <v>30</v>
      </c>
      <c r="F128" s="34">
        <v>32</v>
      </c>
      <c r="G128" s="20">
        <f t="shared" si="2"/>
        <v>0.11532000000000001</v>
      </c>
    </row>
    <row r="129" spans="1:7" x14ac:dyDescent="0.5">
      <c r="A129" s="8">
        <v>126</v>
      </c>
      <c r="B129" s="9">
        <f>COUNTIF($B$1:B128, "&gt;0")+1001</f>
        <v>1126</v>
      </c>
      <c r="C129" s="33">
        <v>62</v>
      </c>
      <c r="D129" s="33">
        <v>62</v>
      </c>
      <c r="E129" s="33">
        <v>30</v>
      </c>
      <c r="F129" s="34">
        <v>32</v>
      </c>
      <c r="G129" s="20">
        <f t="shared" si="2"/>
        <v>0.11532000000000001</v>
      </c>
    </row>
    <row r="130" spans="1:7" x14ac:dyDescent="0.5">
      <c r="A130" s="8">
        <v>127</v>
      </c>
      <c r="B130" s="9">
        <f>COUNTIF($B$1:B129, "&gt;0")+1001</f>
        <v>1127</v>
      </c>
      <c r="C130" s="33">
        <v>62</v>
      </c>
      <c r="D130" s="33">
        <v>62</v>
      </c>
      <c r="E130" s="33">
        <v>30</v>
      </c>
      <c r="F130" s="34">
        <v>32</v>
      </c>
      <c r="G130" s="20">
        <f t="shared" si="2"/>
        <v>0.11532000000000001</v>
      </c>
    </row>
    <row r="131" spans="1:7" x14ac:dyDescent="0.5">
      <c r="A131" s="8">
        <v>128</v>
      </c>
      <c r="B131" s="9">
        <f>COUNTIF($B$1:B130, "&gt;0")+1001</f>
        <v>1128</v>
      </c>
      <c r="C131" s="33">
        <v>62</v>
      </c>
      <c r="D131" s="33">
        <v>62</v>
      </c>
      <c r="E131" s="33">
        <v>30</v>
      </c>
      <c r="F131" s="34">
        <v>32</v>
      </c>
      <c r="G131" s="20">
        <f t="shared" si="2"/>
        <v>0.11532000000000001</v>
      </c>
    </row>
    <row r="132" spans="1:7" x14ac:dyDescent="0.5">
      <c r="A132" s="8">
        <v>129</v>
      </c>
      <c r="B132" s="9">
        <f>COUNTIF($B$1:B131, "&gt;0")+1001</f>
        <v>1129</v>
      </c>
      <c r="C132" s="33">
        <v>62</v>
      </c>
      <c r="D132" s="33">
        <v>62</v>
      </c>
      <c r="E132" s="33">
        <v>30</v>
      </c>
      <c r="F132" s="34">
        <v>32</v>
      </c>
      <c r="G132" s="20">
        <f t="shared" si="2"/>
        <v>0.11532000000000001</v>
      </c>
    </row>
    <row r="133" spans="1:7" x14ac:dyDescent="0.5">
      <c r="A133" s="8">
        <v>130</v>
      </c>
      <c r="B133" s="9">
        <f>COUNTIF($B$1:B132, "&gt;0")+1001</f>
        <v>1130</v>
      </c>
      <c r="C133" s="33">
        <v>62</v>
      </c>
      <c r="D133" s="33">
        <v>62</v>
      </c>
      <c r="E133" s="33">
        <v>30</v>
      </c>
      <c r="F133" s="34">
        <v>32</v>
      </c>
      <c r="G133" s="20">
        <f t="shared" si="2"/>
        <v>0.11532000000000001</v>
      </c>
    </row>
    <row r="134" spans="1:7" x14ac:dyDescent="0.5">
      <c r="A134" s="8">
        <v>131</v>
      </c>
      <c r="B134" s="9">
        <f>COUNTIF($B$1:B133, "&gt;0")+1001</f>
        <v>1131</v>
      </c>
      <c r="C134" s="33">
        <v>62</v>
      </c>
      <c r="D134" s="33">
        <v>62</v>
      </c>
      <c r="E134" s="33">
        <v>30</v>
      </c>
      <c r="F134" s="34">
        <v>32</v>
      </c>
      <c r="G134" s="20">
        <f t="shared" si="2"/>
        <v>0.11532000000000001</v>
      </c>
    </row>
    <row r="135" spans="1:7" x14ac:dyDescent="0.5">
      <c r="A135" s="8">
        <v>132</v>
      </c>
      <c r="B135" s="9">
        <f>COUNTIF($B$1:B134, "&gt;0")+1001</f>
        <v>1132</v>
      </c>
      <c r="C135" s="33">
        <v>62</v>
      </c>
      <c r="D135" s="33">
        <v>62</v>
      </c>
      <c r="E135" s="33">
        <v>30</v>
      </c>
      <c r="F135" s="34">
        <v>32</v>
      </c>
      <c r="G135" s="20">
        <f t="shared" si="2"/>
        <v>0.11532000000000001</v>
      </c>
    </row>
    <row r="136" spans="1:7" x14ac:dyDescent="0.5">
      <c r="A136" s="8">
        <v>133</v>
      </c>
      <c r="B136" s="9">
        <f>COUNTIF($B$1:B135, "&gt;0")+1001</f>
        <v>1133</v>
      </c>
      <c r="C136" s="33">
        <v>62</v>
      </c>
      <c r="D136" s="33">
        <v>62</v>
      </c>
      <c r="E136" s="33">
        <v>30</v>
      </c>
      <c r="F136" s="34">
        <v>32</v>
      </c>
      <c r="G136" s="20">
        <f t="shared" si="2"/>
        <v>0.11532000000000001</v>
      </c>
    </row>
    <row r="137" spans="1:7" x14ac:dyDescent="0.5">
      <c r="A137" s="8">
        <v>134</v>
      </c>
      <c r="B137" s="9">
        <f>COUNTIF($B$1:B136, "&gt;0")+1001</f>
        <v>1134</v>
      </c>
      <c r="C137" s="33">
        <v>62</v>
      </c>
      <c r="D137" s="33">
        <v>62</v>
      </c>
      <c r="E137" s="33">
        <v>30</v>
      </c>
      <c r="F137" s="34">
        <v>32</v>
      </c>
      <c r="G137" s="20">
        <f t="shared" si="2"/>
        <v>0.11532000000000001</v>
      </c>
    </row>
    <row r="138" spans="1:7" x14ac:dyDescent="0.5">
      <c r="A138" s="8">
        <v>135</v>
      </c>
      <c r="B138" s="9">
        <f>COUNTIF($B$1:B137, "&gt;0")+1001</f>
        <v>1135</v>
      </c>
      <c r="C138" s="33">
        <v>62</v>
      </c>
      <c r="D138" s="33">
        <v>62</v>
      </c>
      <c r="E138" s="33">
        <v>30</v>
      </c>
      <c r="F138" s="34">
        <v>32</v>
      </c>
      <c r="G138" s="20">
        <f t="shared" si="2"/>
        <v>0.11532000000000001</v>
      </c>
    </row>
    <row r="139" spans="1:7" x14ac:dyDescent="0.5">
      <c r="A139" s="8">
        <v>136</v>
      </c>
      <c r="B139" s="9">
        <f>COUNTIF($B$1:B138, "&gt;0")+1001</f>
        <v>1136</v>
      </c>
      <c r="C139" s="33">
        <v>62</v>
      </c>
      <c r="D139" s="33">
        <v>62</v>
      </c>
      <c r="E139" s="33">
        <v>30</v>
      </c>
      <c r="F139" s="34">
        <v>32</v>
      </c>
      <c r="G139" s="20">
        <f t="shared" si="2"/>
        <v>0.11532000000000001</v>
      </c>
    </row>
    <row r="140" spans="1:7" x14ac:dyDescent="0.5">
      <c r="A140" s="8">
        <v>137</v>
      </c>
      <c r="B140" s="9">
        <f>COUNTIF($B$1:B139, "&gt;0")+1001</f>
        <v>1137</v>
      </c>
      <c r="C140" s="33">
        <v>62</v>
      </c>
      <c r="D140" s="33">
        <v>62</v>
      </c>
      <c r="E140" s="33">
        <v>30</v>
      </c>
      <c r="F140" s="34">
        <v>32</v>
      </c>
      <c r="G140" s="20">
        <f t="shared" si="2"/>
        <v>0.11532000000000001</v>
      </c>
    </row>
    <row r="141" spans="1:7" x14ac:dyDescent="0.5">
      <c r="A141" s="8">
        <v>138</v>
      </c>
      <c r="B141" s="9">
        <f>COUNTIF($B$1:B140, "&gt;0")+1001</f>
        <v>1138</v>
      </c>
      <c r="C141" s="33">
        <v>62</v>
      </c>
      <c r="D141" s="33">
        <v>62</v>
      </c>
      <c r="E141" s="33">
        <v>30</v>
      </c>
      <c r="F141" s="34">
        <v>32</v>
      </c>
      <c r="G141" s="20">
        <f t="shared" si="2"/>
        <v>0.11532000000000001</v>
      </c>
    </row>
    <row r="142" spans="1:7" x14ac:dyDescent="0.5">
      <c r="A142" s="8">
        <v>139</v>
      </c>
      <c r="B142" s="9">
        <f>COUNTIF($B$1:B141, "&gt;0")+1001</f>
        <v>1139</v>
      </c>
      <c r="C142" s="33">
        <v>62</v>
      </c>
      <c r="D142" s="33">
        <v>62</v>
      </c>
      <c r="E142" s="33">
        <v>30</v>
      </c>
      <c r="F142" s="34">
        <v>32</v>
      </c>
      <c r="G142" s="20">
        <f t="shared" si="2"/>
        <v>0.11532000000000001</v>
      </c>
    </row>
    <row r="143" spans="1:7" x14ac:dyDescent="0.5">
      <c r="A143" s="8">
        <v>140</v>
      </c>
      <c r="B143" s="9">
        <f>COUNTIF($B$1:B142, "&gt;0")+1001</f>
        <v>1140</v>
      </c>
      <c r="C143" s="33">
        <v>62</v>
      </c>
      <c r="D143" s="33">
        <v>62</v>
      </c>
      <c r="E143" s="33">
        <v>30</v>
      </c>
      <c r="F143" s="34">
        <v>32</v>
      </c>
      <c r="G143" s="20">
        <f t="shared" si="2"/>
        <v>0.11532000000000001</v>
      </c>
    </row>
    <row r="144" spans="1:7" x14ac:dyDescent="0.5">
      <c r="A144" s="8">
        <v>141</v>
      </c>
      <c r="B144" s="9">
        <f>COUNTIF($B$1:B143, "&gt;0")+1001</f>
        <v>1141</v>
      </c>
      <c r="C144" s="33">
        <v>62</v>
      </c>
      <c r="D144" s="33">
        <v>62</v>
      </c>
      <c r="E144" s="33">
        <v>30</v>
      </c>
      <c r="F144" s="34">
        <v>32</v>
      </c>
      <c r="G144" s="20">
        <f t="shared" si="2"/>
        <v>0.11532000000000001</v>
      </c>
    </row>
    <row r="145" spans="1:7" x14ac:dyDescent="0.5">
      <c r="A145" s="8">
        <v>142</v>
      </c>
      <c r="B145" s="9">
        <f>COUNTIF($B$1:B144, "&gt;0")+1001</f>
        <v>1142</v>
      </c>
      <c r="C145" s="33">
        <v>62</v>
      </c>
      <c r="D145" s="33">
        <v>62</v>
      </c>
      <c r="E145" s="33">
        <v>30</v>
      </c>
      <c r="F145" s="34">
        <v>32</v>
      </c>
      <c r="G145" s="20">
        <f t="shared" si="2"/>
        <v>0.11532000000000001</v>
      </c>
    </row>
    <row r="146" spans="1:7" x14ac:dyDescent="0.5">
      <c r="A146" s="8">
        <v>143</v>
      </c>
      <c r="B146" s="9">
        <f>COUNTIF($B$1:B145, "&gt;0")+1001</f>
        <v>1143</v>
      </c>
      <c r="C146" s="9">
        <v>62</v>
      </c>
      <c r="D146" s="9">
        <v>62</v>
      </c>
      <c r="E146" s="9">
        <v>30</v>
      </c>
      <c r="F146" s="43">
        <v>32</v>
      </c>
      <c r="G146" s="20">
        <f t="shared" si="2"/>
        <v>0.11532000000000001</v>
      </c>
    </row>
    <row r="147" spans="1:7" x14ac:dyDescent="0.5">
      <c r="A147" s="8">
        <v>144</v>
      </c>
      <c r="B147" s="9">
        <f>COUNTIF($B$1:B146, "&gt;0")+1001</f>
        <v>1144</v>
      </c>
      <c r="C147" s="44">
        <v>62</v>
      </c>
      <c r="D147" s="44">
        <v>62</v>
      </c>
      <c r="E147" s="44">
        <v>30</v>
      </c>
      <c r="F147" s="45">
        <v>27</v>
      </c>
      <c r="G147" s="20">
        <f t="shared" si="2"/>
        <v>0.11532000000000001</v>
      </c>
    </row>
    <row r="148" spans="1:7" x14ac:dyDescent="0.5">
      <c r="A148" s="8">
        <v>145</v>
      </c>
      <c r="B148" s="9">
        <f>COUNTIF($B$1:B147, "&gt;0")+1001</f>
        <v>1145</v>
      </c>
      <c r="C148" s="44">
        <v>62</v>
      </c>
      <c r="D148" s="44">
        <v>62</v>
      </c>
      <c r="E148" s="44">
        <v>30</v>
      </c>
      <c r="F148" s="45">
        <v>27</v>
      </c>
      <c r="G148" s="20">
        <f t="shared" si="2"/>
        <v>0.11532000000000001</v>
      </c>
    </row>
    <row r="149" spans="1:7" x14ac:dyDescent="0.5">
      <c r="A149" s="8">
        <v>146</v>
      </c>
      <c r="B149" s="9">
        <f>COUNTIF($B$1:B148, "&gt;0")+1001</f>
        <v>1146</v>
      </c>
      <c r="C149" s="44">
        <v>62</v>
      </c>
      <c r="D149" s="44">
        <v>62</v>
      </c>
      <c r="E149" s="44">
        <v>30</v>
      </c>
      <c r="F149" s="45">
        <v>21</v>
      </c>
      <c r="G149" s="20">
        <f t="shared" si="2"/>
        <v>0.11532000000000001</v>
      </c>
    </row>
    <row r="150" spans="1:7" x14ac:dyDescent="0.5">
      <c r="A150" s="8">
        <v>147</v>
      </c>
      <c r="B150" s="9">
        <f>COUNTIF($B$1:B149, "&gt;0")+1001</f>
        <v>1147</v>
      </c>
      <c r="C150" s="44">
        <v>62</v>
      </c>
      <c r="D150" s="44">
        <v>62</v>
      </c>
      <c r="E150" s="44">
        <v>30</v>
      </c>
      <c r="F150" s="45">
        <v>21</v>
      </c>
      <c r="G150" s="20">
        <f t="shared" si="2"/>
        <v>0.11532000000000001</v>
      </c>
    </row>
    <row r="151" spans="1:7" x14ac:dyDescent="0.5">
      <c r="A151" s="8">
        <v>148</v>
      </c>
      <c r="B151" s="9">
        <f>COUNTIF($B$1:B150, "&gt;0")+1001</f>
        <v>1148</v>
      </c>
      <c r="C151" s="44">
        <v>62</v>
      </c>
      <c r="D151" s="44">
        <v>62</v>
      </c>
      <c r="E151" s="44">
        <v>30</v>
      </c>
      <c r="F151" s="45">
        <v>21</v>
      </c>
      <c r="G151" s="20">
        <f t="shared" si="2"/>
        <v>0.11532000000000001</v>
      </c>
    </row>
    <row r="152" spans="1:7" x14ac:dyDescent="0.5">
      <c r="A152" s="8">
        <v>149</v>
      </c>
      <c r="B152" s="9">
        <f>COUNTIF($B$1:B151, "&gt;0")+1001</f>
        <v>1149</v>
      </c>
      <c r="C152" s="44">
        <v>62</v>
      </c>
      <c r="D152" s="44">
        <v>62</v>
      </c>
      <c r="E152" s="44">
        <v>30</v>
      </c>
      <c r="F152" s="45">
        <v>21</v>
      </c>
      <c r="G152" s="20">
        <f t="shared" si="2"/>
        <v>0.11532000000000001</v>
      </c>
    </row>
    <row r="153" spans="1:7" x14ac:dyDescent="0.5">
      <c r="A153" s="8">
        <v>150</v>
      </c>
      <c r="B153" s="9">
        <f>COUNTIF($B$1:B152, "&gt;0")+1001</f>
        <v>1150</v>
      </c>
      <c r="C153" s="9">
        <v>77</v>
      </c>
      <c r="D153" s="9">
        <v>77</v>
      </c>
      <c r="E153" s="9">
        <v>30</v>
      </c>
      <c r="F153" s="9">
        <v>42</v>
      </c>
      <c r="G153" s="20">
        <f t="shared" si="2"/>
        <v>0.17787</v>
      </c>
    </row>
    <row r="154" spans="1:7" x14ac:dyDescent="0.5">
      <c r="A154" s="8">
        <v>151</v>
      </c>
      <c r="B154" s="9">
        <f>COUNTIF($B$1:B153, "&gt;0")+1001</f>
        <v>1151</v>
      </c>
      <c r="C154" s="9">
        <v>77</v>
      </c>
      <c r="D154" s="9">
        <v>77</v>
      </c>
      <c r="E154" s="9">
        <v>30</v>
      </c>
      <c r="F154" s="9">
        <v>42</v>
      </c>
      <c r="G154" s="20">
        <f t="shared" si="2"/>
        <v>0.17787</v>
      </c>
    </row>
    <row r="155" spans="1:7" x14ac:dyDescent="0.5">
      <c r="A155" s="8">
        <v>152</v>
      </c>
      <c r="B155" s="9">
        <f>COUNTIF($B$1:B154, "&gt;0")+1001</f>
        <v>1152</v>
      </c>
      <c r="C155" s="9">
        <v>77</v>
      </c>
      <c r="D155" s="9">
        <v>77</v>
      </c>
      <c r="E155" s="9">
        <v>30</v>
      </c>
      <c r="F155" s="9">
        <v>42</v>
      </c>
      <c r="G155" s="20">
        <f t="shared" si="2"/>
        <v>0.17787</v>
      </c>
    </row>
    <row r="156" spans="1:7" x14ac:dyDescent="0.5">
      <c r="A156" s="8">
        <v>153</v>
      </c>
      <c r="B156" s="9">
        <f>COUNTIF($B$1:B155, "&gt;0")+1001</f>
        <v>1153</v>
      </c>
      <c r="C156" s="9">
        <v>77</v>
      </c>
      <c r="D156" s="9">
        <v>77</v>
      </c>
      <c r="E156" s="9">
        <v>30</v>
      </c>
      <c r="F156" s="9">
        <v>42</v>
      </c>
      <c r="G156" s="20">
        <f t="shared" si="2"/>
        <v>0.17787</v>
      </c>
    </row>
    <row r="157" spans="1:7" x14ac:dyDescent="0.5">
      <c r="A157" s="8">
        <v>154</v>
      </c>
      <c r="B157" s="9">
        <f>COUNTIF($B$1:B156, "&gt;0")+1001</f>
        <v>1154</v>
      </c>
      <c r="C157" s="9">
        <v>77</v>
      </c>
      <c r="D157" s="9">
        <v>77</v>
      </c>
      <c r="E157" s="9">
        <v>30</v>
      </c>
      <c r="F157" s="9">
        <v>42</v>
      </c>
      <c r="G157" s="20">
        <f t="shared" si="2"/>
        <v>0.17787</v>
      </c>
    </row>
    <row r="158" spans="1:7" x14ac:dyDescent="0.5">
      <c r="A158" s="8">
        <v>155</v>
      </c>
      <c r="B158" s="9">
        <f>COUNTIF($B$1:B157, "&gt;0")+1001</f>
        <v>1155</v>
      </c>
      <c r="C158" s="9">
        <v>77</v>
      </c>
      <c r="D158" s="9">
        <v>77</v>
      </c>
      <c r="E158" s="9">
        <v>30</v>
      </c>
      <c r="F158" s="9">
        <v>42</v>
      </c>
      <c r="G158" s="20">
        <f t="shared" si="2"/>
        <v>0.17787</v>
      </c>
    </row>
    <row r="159" spans="1:7" x14ac:dyDescent="0.5">
      <c r="A159" s="8">
        <v>156</v>
      </c>
      <c r="B159" s="9">
        <f>COUNTIF($B$1:B158, "&gt;0")+1001</f>
        <v>1156</v>
      </c>
      <c r="C159" s="9">
        <v>77</v>
      </c>
      <c r="D159" s="9">
        <v>77</v>
      </c>
      <c r="E159" s="9">
        <v>30</v>
      </c>
      <c r="F159" s="9">
        <v>42</v>
      </c>
      <c r="G159" s="20">
        <f t="shared" si="2"/>
        <v>0.17787</v>
      </c>
    </row>
    <row r="160" spans="1:7" x14ac:dyDescent="0.5">
      <c r="A160" s="8">
        <v>157</v>
      </c>
      <c r="B160" s="9">
        <f>COUNTIF($B$1:B159, "&gt;0")+1001</f>
        <v>1157</v>
      </c>
      <c r="C160" s="9">
        <v>77</v>
      </c>
      <c r="D160" s="9">
        <v>77</v>
      </c>
      <c r="E160" s="9">
        <v>30</v>
      </c>
      <c r="F160" s="9">
        <v>42</v>
      </c>
      <c r="G160" s="20">
        <f t="shared" si="2"/>
        <v>0.17787</v>
      </c>
    </row>
    <row r="161" spans="1:7" x14ac:dyDescent="0.5">
      <c r="A161" s="8">
        <v>158</v>
      </c>
      <c r="B161" s="9">
        <f>COUNTIF($B$1:B160, "&gt;0")+1001</f>
        <v>1158</v>
      </c>
      <c r="C161" s="9">
        <v>110</v>
      </c>
      <c r="D161" s="9">
        <v>100</v>
      </c>
      <c r="E161" s="9">
        <v>130</v>
      </c>
      <c r="F161" s="46">
        <v>408</v>
      </c>
      <c r="G161" s="20">
        <f t="shared" si="2"/>
        <v>1.43</v>
      </c>
    </row>
    <row r="162" spans="1:7" x14ac:dyDescent="0.5">
      <c r="A162" s="8">
        <v>159</v>
      </c>
      <c r="B162" s="9">
        <f>COUNTIF($B$1:B161, "&gt;0")+1001</f>
        <v>1159</v>
      </c>
      <c r="C162" s="9">
        <v>118</v>
      </c>
      <c r="D162" s="9">
        <v>82</v>
      </c>
      <c r="E162" s="9">
        <v>85</v>
      </c>
      <c r="F162" s="46">
        <v>241</v>
      </c>
      <c r="G162" s="20">
        <f t="shared" si="2"/>
        <v>0.82245999999999997</v>
      </c>
    </row>
    <row r="163" spans="1:7" x14ac:dyDescent="0.5">
      <c r="A163" s="8">
        <v>160</v>
      </c>
      <c r="B163" s="9">
        <f>COUNTIF($B$1:B162, "&gt;0")+1001</f>
        <v>1160</v>
      </c>
      <c r="C163" s="9">
        <v>121</v>
      </c>
      <c r="D163" s="9">
        <v>61</v>
      </c>
      <c r="E163" s="9">
        <v>78</v>
      </c>
      <c r="F163" s="46">
        <v>117</v>
      </c>
      <c r="G163" s="20">
        <f t="shared" si="2"/>
        <v>0.57571799999999995</v>
      </c>
    </row>
    <row r="164" spans="1:7" x14ac:dyDescent="0.5">
      <c r="A164" s="8">
        <v>161</v>
      </c>
      <c r="B164" s="9">
        <f>COUNTIF($B$1:B163, "&gt;0")+1001</f>
        <v>1161</v>
      </c>
      <c r="C164" s="9">
        <v>113</v>
      </c>
      <c r="D164" s="9">
        <v>76</v>
      </c>
      <c r="E164" s="9">
        <v>75</v>
      </c>
      <c r="F164" s="46">
        <v>166</v>
      </c>
      <c r="G164" s="20">
        <f t="shared" si="2"/>
        <v>0.64410000000000001</v>
      </c>
    </row>
    <row r="165" spans="1:7" x14ac:dyDescent="0.5">
      <c r="A165" s="8">
        <v>162</v>
      </c>
      <c r="B165" s="9">
        <f>COUNTIF($B$1:B164, "&gt;0")+1001</f>
        <v>1162</v>
      </c>
      <c r="C165" s="9">
        <v>121</v>
      </c>
      <c r="D165" s="9">
        <v>81</v>
      </c>
      <c r="E165" s="9">
        <v>89</v>
      </c>
      <c r="F165" s="46">
        <v>310</v>
      </c>
      <c r="G165" s="20">
        <f t="shared" si="2"/>
        <v>0.87228899999999998</v>
      </c>
    </row>
    <row r="166" spans="1:7" x14ac:dyDescent="0.5">
      <c r="A166" s="8">
        <v>163</v>
      </c>
      <c r="B166" s="9">
        <f>COUNTIF($B$1:B165, "&gt;0")+1001</f>
        <v>1163</v>
      </c>
      <c r="C166" s="9">
        <v>117</v>
      </c>
      <c r="D166" s="9">
        <v>81</v>
      </c>
      <c r="E166" s="9">
        <v>88</v>
      </c>
      <c r="F166" s="46">
        <v>337</v>
      </c>
      <c r="G166" s="20">
        <f t="shared" si="2"/>
        <v>0.83397600000000005</v>
      </c>
    </row>
    <row r="167" spans="1:7" x14ac:dyDescent="0.5">
      <c r="A167" s="8">
        <v>164</v>
      </c>
      <c r="B167" s="9">
        <f>COUNTIF($B$1:B166, "&gt;0")+1001</f>
        <v>1164</v>
      </c>
      <c r="C167" s="9">
        <v>122</v>
      </c>
      <c r="D167" s="9">
        <v>79</v>
      </c>
      <c r="E167" s="9">
        <v>91</v>
      </c>
      <c r="F167" s="46">
        <v>368</v>
      </c>
      <c r="G167" s="20">
        <f t="shared" si="2"/>
        <v>0.877058</v>
      </c>
    </row>
    <row r="168" spans="1:7" x14ac:dyDescent="0.5">
      <c r="A168" s="8">
        <v>165</v>
      </c>
      <c r="B168" s="9">
        <f>COUNTIF($B$1:B167, "&gt;0")+1001</f>
        <v>1165</v>
      </c>
      <c r="C168" s="9">
        <v>122</v>
      </c>
      <c r="D168" s="9">
        <v>81</v>
      </c>
      <c r="E168" s="9">
        <v>89</v>
      </c>
      <c r="F168" s="46">
        <v>248</v>
      </c>
      <c r="G168" s="20">
        <f t="shared" si="2"/>
        <v>0.879498</v>
      </c>
    </row>
    <row r="169" spans="1:7" x14ac:dyDescent="0.5">
      <c r="A169" s="8">
        <v>166</v>
      </c>
      <c r="B169" s="9">
        <f>COUNTIF($B$1:B168, "&gt;0")+1001</f>
        <v>1166</v>
      </c>
      <c r="C169" s="9">
        <v>122</v>
      </c>
      <c r="D169" s="9">
        <v>81</v>
      </c>
      <c r="E169" s="9">
        <v>89</v>
      </c>
      <c r="F169" s="46">
        <v>248</v>
      </c>
      <c r="G169" s="20">
        <f t="shared" si="2"/>
        <v>0.879498</v>
      </c>
    </row>
    <row r="170" spans="1:7" x14ac:dyDescent="0.5">
      <c r="A170" s="8">
        <v>167</v>
      </c>
      <c r="B170" s="9">
        <f>COUNTIF($B$1:B169, "&gt;0")+1001</f>
        <v>1167</v>
      </c>
      <c r="C170" s="9">
        <v>121</v>
      </c>
      <c r="D170" s="9">
        <v>61</v>
      </c>
      <c r="E170" s="9">
        <v>78</v>
      </c>
      <c r="F170" s="46">
        <v>121</v>
      </c>
      <c r="G170" s="20">
        <f t="shared" si="2"/>
        <v>0.57571799999999995</v>
      </c>
    </row>
    <row r="171" spans="1:7" x14ac:dyDescent="0.5">
      <c r="A171" s="8">
        <v>168</v>
      </c>
      <c r="B171" s="9">
        <f>COUNTIF($B$1:B170, "&gt;0")+1001</f>
        <v>1168</v>
      </c>
      <c r="C171" s="9">
        <v>121</v>
      </c>
      <c r="D171" s="9">
        <v>61</v>
      </c>
      <c r="E171" s="9">
        <v>78</v>
      </c>
      <c r="F171" s="46">
        <v>121</v>
      </c>
      <c r="G171" s="20">
        <f t="shared" si="2"/>
        <v>0.57571799999999995</v>
      </c>
    </row>
    <row r="172" spans="1:7" x14ac:dyDescent="0.5">
      <c r="A172" s="8">
        <v>169</v>
      </c>
      <c r="B172" s="40">
        <v>2001</v>
      </c>
      <c r="C172" s="9">
        <v>59</v>
      </c>
      <c r="D172" s="9">
        <v>37</v>
      </c>
      <c r="E172" s="9">
        <v>33</v>
      </c>
      <c r="F172" s="43">
        <v>19</v>
      </c>
      <c r="G172" s="16">
        <f t="shared" si="2"/>
        <v>7.2039000000000006E-2</v>
      </c>
    </row>
    <row r="173" spans="1:7" x14ac:dyDescent="0.5">
      <c r="A173" s="8">
        <v>170</v>
      </c>
      <c r="B173" s="40">
        <f>COUNTIF($B$1:B172, "&gt;0")+2001</f>
        <v>2170</v>
      </c>
      <c r="C173" s="9">
        <v>59</v>
      </c>
      <c r="D173" s="9">
        <v>37</v>
      </c>
      <c r="E173" s="9">
        <v>33</v>
      </c>
      <c r="F173" s="43">
        <v>19</v>
      </c>
      <c r="G173" s="16">
        <f t="shared" si="2"/>
        <v>7.2039000000000006E-2</v>
      </c>
    </row>
    <row r="174" spans="1:7" x14ac:dyDescent="0.5">
      <c r="A174" s="8">
        <v>171</v>
      </c>
      <c r="B174" s="40">
        <f>COUNTIF($B$1:B173, "&gt;0")+2001</f>
        <v>2171</v>
      </c>
      <c r="C174" s="9">
        <v>59</v>
      </c>
      <c r="D174" s="9">
        <v>37</v>
      </c>
      <c r="E174" s="9">
        <v>33</v>
      </c>
      <c r="F174" s="43">
        <v>19</v>
      </c>
      <c r="G174" s="16">
        <f t="shared" si="2"/>
        <v>7.2039000000000006E-2</v>
      </c>
    </row>
    <row r="175" spans="1:7" x14ac:dyDescent="0.5">
      <c r="A175" s="8">
        <v>172</v>
      </c>
      <c r="B175" s="40">
        <f>COUNTIF($B$1:B174, "&gt;0")+2001</f>
        <v>2172</v>
      </c>
      <c r="C175" s="9">
        <v>59</v>
      </c>
      <c r="D175" s="9">
        <v>37</v>
      </c>
      <c r="E175" s="9">
        <v>33</v>
      </c>
      <c r="F175" s="43">
        <v>19</v>
      </c>
      <c r="G175" s="16">
        <f t="shared" si="2"/>
        <v>7.2039000000000006E-2</v>
      </c>
    </row>
    <row r="176" spans="1:7" x14ac:dyDescent="0.5">
      <c r="A176" s="8">
        <v>173</v>
      </c>
      <c r="B176" s="40">
        <f>COUNTIF($B$1:B175, "&gt;0")+2001</f>
        <v>2173</v>
      </c>
      <c r="C176" s="9">
        <v>59</v>
      </c>
      <c r="D176" s="9">
        <v>37</v>
      </c>
      <c r="E176" s="9">
        <v>33</v>
      </c>
      <c r="F176" s="43">
        <v>19</v>
      </c>
      <c r="G176" s="16">
        <f t="shared" si="2"/>
        <v>7.2039000000000006E-2</v>
      </c>
    </row>
    <row r="177" spans="1:7" x14ac:dyDescent="0.5">
      <c r="A177" s="8">
        <v>174</v>
      </c>
      <c r="B177" s="40">
        <f>COUNTIF($B$1:B176, "&gt;0")+2001</f>
        <v>2174</v>
      </c>
      <c r="C177" s="9">
        <v>59</v>
      </c>
      <c r="D177" s="9">
        <v>37</v>
      </c>
      <c r="E177" s="9">
        <v>33</v>
      </c>
      <c r="F177" s="43">
        <v>19</v>
      </c>
      <c r="G177" s="16">
        <f t="shared" si="2"/>
        <v>7.2039000000000006E-2</v>
      </c>
    </row>
    <row r="178" spans="1:7" x14ac:dyDescent="0.5">
      <c r="A178" s="8">
        <v>175</v>
      </c>
      <c r="B178" s="40">
        <f>COUNTIF($B$1:B177, "&gt;0")+2001</f>
        <v>2175</v>
      </c>
      <c r="C178" s="9">
        <v>59</v>
      </c>
      <c r="D178" s="9">
        <v>37</v>
      </c>
      <c r="E178" s="9">
        <v>33</v>
      </c>
      <c r="F178" s="43">
        <v>19</v>
      </c>
      <c r="G178" s="16">
        <f t="shared" si="2"/>
        <v>7.2039000000000006E-2</v>
      </c>
    </row>
    <row r="179" spans="1:7" x14ac:dyDescent="0.5">
      <c r="A179" s="8">
        <v>176</v>
      </c>
      <c r="B179" s="40">
        <f>COUNTIF($B$1:B178, "&gt;0")+2001</f>
        <v>2176</v>
      </c>
      <c r="C179" s="9">
        <v>59</v>
      </c>
      <c r="D179" s="9">
        <v>37</v>
      </c>
      <c r="E179" s="9">
        <v>33</v>
      </c>
      <c r="F179" s="43">
        <v>19</v>
      </c>
      <c r="G179" s="16">
        <f t="shared" si="2"/>
        <v>7.2039000000000006E-2</v>
      </c>
    </row>
    <row r="180" spans="1:7" x14ac:dyDescent="0.5">
      <c r="A180" s="8">
        <v>177</v>
      </c>
      <c r="B180" s="40">
        <f>COUNTIF($B$1:B179, "&gt;0")+2001</f>
        <v>2177</v>
      </c>
      <c r="C180" s="9">
        <v>59</v>
      </c>
      <c r="D180" s="9">
        <v>37</v>
      </c>
      <c r="E180" s="9">
        <v>33</v>
      </c>
      <c r="F180" s="43">
        <v>19</v>
      </c>
      <c r="G180" s="16">
        <f t="shared" si="2"/>
        <v>7.2039000000000006E-2</v>
      </c>
    </row>
    <row r="181" spans="1:7" x14ac:dyDescent="0.5">
      <c r="A181" s="8">
        <v>178</v>
      </c>
      <c r="B181" s="40">
        <f>COUNTIF($B$1:B180, "&gt;0")+2001</f>
        <v>2178</v>
      </c>
      <c r="C181" s="9">
        <v>59</v>
      </c>
      <c r="D181" s="9">
        <v>37</v>
      </c>
      <c r="E181" s="9">
        <v>33</v>
      </c>
      <c r="F181" s="43">
        <v>19</v>
      </c>
      <c r="G181" s="16">
        <f t="shared" si="2"/>
        <v>7.2039000000000006E-2</v>
      </c>
    </row>
    <row r="182" spans="1:7" x14ac:dyDescent="0.5">
      <c r="A182" s="8">
        <v>179</v>
      </c>
      <c r="B182" s="40">
        <f>COUNTIF($B$1:B181, "&gt;0")+2001</f>
        <v>2179</v>
      </c>
      <c r="C182" s="9">
        <v>59</v>
      </c>
      <c r="D182" s="9">
        <v>37</v>
      </c>
      <c r="E182" s="9">
        <v>33</v>
      </c>
      <c r="F182" s="43">
        <v>19</v>
      </c>
      <c r="G182" s="16">
        <f t="shared" si="2"/>
        <v>7.2039000000000006E-2</v>
      </c>
    </row>
    <row r="183" spans="1:7" x14ac:dyDescent="0.5">
      <c r="A183" s="8">
        <v>180</v>
      </c>
      <c r="B183" s="40">
        <f>COUNTIF($B$1:B182, "&gt;0")+2001</f>
        <v>2180</v>
      </c>
      <c r="C183" s="9">
        <v>59</v>
      </c>
      <c r="D183" s="9">
        <v>37</v>
      </c>
      <c r="E183" s="9">
        <v>33</v>
      </c>
      <c r="F183" s="43">
        <v>19</v>
      </c>
      <c r="G183" s="16">
        <f t="shared" si="2"/>
        <v>7.2039000000000006E-2</v>
      </c>
    </row>
    <row r="184" spans="1:7" x14ac:dyDescent="0.5">
      <c r="A184" s="8">
        <v>181</v>
      </c>
      <c r="B184" s="40">
        <f>COUNTIF($B$1:B183, "&gt;0")+2001</f>
        <v>2181</v>
      </c>
      <c r="C184" s="21">
        <v>76</v>
      </c>
      <c r="D184" s="21">
        <v>39</v>
      </c>
      <c r="E184" s="21">
        <v>34</v>
      </c>
      <c r="F184" s="34">
        <v>19</v>
      </c>
      <c r="G184" s="20">
        <f t="shared" si="2"/>
        <v>0.100776</v>
      </c>
    </row>
    <row r="185" spans="1:7" x14ac:dyDescent="0.5">
      <c r="A185" s="8">
        <v>182</v>
      </c>
      <c r="B185" s="40">
        <f>COUNTIF($B$1:B184, "&gt;0")+2001</f>
        <v>2182</v>
      </c>
      <c r="C185" s="21">
        <v>76</v>
      </c>
      <c r="D185" s="21">
        <v>39</v>
      </c>
      <c r="E185" s="21">
        <v>34</v>
      </c>
      <c r="F185" s="34">
        <v>19</v>
      </c>
      <c r="G185" s="20">
        <f t="shared" si="2"/>
        <v>0.100776</v>
      </c>
    </row>
    <row r="186" spans="1:7" x14ac:dyDescent="0.5">
      <c r="A186" s="8">
        <v>183</v>
      </c>
      <c r="B186" s="40">
        <f>COUNTIF($B$1:B185, "&gt;0")+2001</f>
        <v>2183</v>
      </c>
      <c r="C186" s="21">
        <v>76</v>
      </c>
      <c r="D186" s="21">
        <v>39</v>
      </c>
      <c r="E186" s="21">
        <v>34</v>
      </c>
      <c r="F186" s="34">
        <v>19</v>
      </c>
      <c r="G186" s="20">
        <f t="shared" si="2"/>
        <v>0.100776</v>
      </c>
    </row>
    <row r="187" spans="1:7" x14ac:dyDescent="0.5">
      <c r="A187" s="8">
        <v>184</v>
      </c>
      <c r="B187" s="40">
        <f>COUNTIF($B$1:B186, "&gt;0")+2001</f>
        <v>2184</v>
      </c>
      <c r="C187" s="21">
        <v>76</v>
      </c>
      <c r="D187" s="21">
        <v>39</v>
      </c>
      <c r="E187" s="21">
        <v>34</v>
      </c>
      <c r="F187" s="34">
        <v>19</v>
      </c>
      <c r="G187" s="20">
        <f t="shared" si="2"/>
        <v>0.100776</v>
      </c>
    </row>
    <row r="188" spans="1:7" x14ac:dyDescent="0.5">
      <c r="A188" s="8">
        <v>185</v>
      </c>
      <c r="B188" s="40">
        <f>COUNTIF($B$1:B187, "&gt;0")+2001</f>
        <v>2185</v>
      </c>
      <c r="C188" s="21">
        <v>76</v>
      </c>
      <c r="D188" s="21">
        <v>39</v>
      </c>
      <c r="E188" s="21">
        <v>34</v>
      </c>
      <c r="F188" s="34">
        <v>19</v>
      </c>
      <c r="G188" s="20">
        <f t="shared" ref="G188:G251" si="3">PRODUCT(C188:E188)/1000000</f>
        <v>0.100776</v>
      </c>
    </row>
    <row r="189" spans="1:7" x14ac:dyDescent="0.5">
      <c r="A189" s="8">
        <v>186</v>
      </c>
      <c r="B189" s="40">
        <f>COUNTIF($B$1:B188, "&gt;0")+2001</f>
        <v>2186</v>
      </c>
      <c r="C189" s="21">
        <v>76</v>
      </c>
      <c r="D189" s="21">
        <v>39</v>
      </c>
      <c r="E189" s="21">
        <v>34</v>
      </c>
      <c r="F189" s="34">
        <v>19</v>
      </c>
      <c r="G189" s="20">
        <f t="shared" si="3"/>
        <v>0.100776</v>
      </c>
    </row>
    <row r="190" spans="1:7" x14ac:dyDescent="0.5">
      <c r="A190" s="8">
        <v>187</v>
      </c>
      <c r="B190" s="40">
        <f>COUNTIF($B$1:B189, "&gt;0")+2001</f>
        <v>2187</v>
      </c>
      <c r="C190" s="21">
        <v>76</v>
      </c>
      <c r="D190" s="21">
        <v>36</v>
      </c>
      <c r="E190" s="21">
        <v>34</v>
      </c>
      <c r="F190" s="21">
        <v>17</v>
      </c>
      <c r="G190" s="20">
        <f t="shared" si="3"/>
        <v>9.3023999999999996E-2</v>
      </c>
    </row>
    <row r="191" spans="1:7" x14ac:dyDescent="0.5">
      <c r="A191" s="8">
        <v>188</v>
      </c>
      <c r="B191" s="40">
        <f>COUNTIF($B$1:B190, "&gt;0")+2001</f>
        <v>2188</v>
      </c>
      <c r="C191" s="21">
        <v>76</v>
      </c>
      <c r="D191" s="21">
        <v>36</v>
      </c>
      <c r="E191" s="21">
        <v>34</v>
      </c>
      <c r="F191" s="21">
        <v>17</v>
      </c>
      <c r="G191" s="20">
        <f t="shared" si="3"/>
        <v>9.3023999999999996E-2</v>
      </c>
    </row>
    <row r="192" spans="1:7" x14ac:dyDescent="0.5">
      <c r="A192" s="8">
        <v>189</v>
      </c>
      <c r="B192" s="40">
        <f>COUNTIF($B$1:B191, "&gt;0")+2001</f>
        <v>2189</v>
      </c>
      <c r="C192" s="47">
        <v>78</v>
      </c>
      <c r="D192" s="47">
        <v>52</v>
      </c>
      <c r="E192" s="47">
        <v>17</v>
      </c>
      <c r="F192" s="36">
        <v>20.9</v>
      </c>
      <c r="G192" s="20">
        <f t="shared" si="3"/>
        <v>6.8951999999999999E-2</v>
      </c>
    </row>
    <row r="193" spans="1:7" x14ac:dyDescent="0.5">
      <c r="A193" s="8">
        <v>190</v>
      </c>
      <c r="B193" s="40">
        <f>COUNTIF($B$1:B192, "&gt;0")+2001</f>
        <v>2190</v>
      </c>
      <c r="C193" s="47">
        <v>50</v>
      </c>
      <c r="D193" s="47">
        <v>43</v>
      </c>
      <c r="E193" s="47">
        <v>22</v>
      </c>
      <c r="F193" s="36">
        <v>15.6</v>
      </c>
      <c r="G193" s="20">
        <f t="shared" si="3"/>
        <v>4.7300000000000002E-2</v>
      </c>
    </row>
    <row r="194" spans="1:7" x14ac:dyDescent="0.5">
      <c r="A194" s="8">
        <v>191</v>
      </c>
      <c r="B194" s="40">
        <f>COUNTIF($B$1:B193, "&gt;0")+2001</f>
        <v>2191</v>
      </c>
      <c r="C194" s="47">
        <v>110</v>
      </c>
      <c r="D194" s="47">
        <v>40</v>
      </c>
      <c r="E194" s="47">
        <v>15</v>
      </c>
      <c r="F194" s="36">
        <v>16.399999999999999</v>
      </c>
      <c r="G194" s="20">
        <f t="shared" si="3"/>
        <v>6.6000000000000003E-2</v>
      </c>
    </row>
    <row r="195" spans="1:7" x14ac:dyDescent="0.5">
      <c r="A195" s="8">
        <v>192</v>
      </c>
      <c r="B195" s="40">
        <f>COUNTIF($B$1:B194, "&gt;0")+2001</f>
        <v>2192</v>
      </c>
      <c r="C195" s="44">
        <v>41</v>
      </c>
      <c r="D195" s="44">
        <v>38</v>
      </c>
      <c r="E195" s="44">
        <v>26</v>
      </c>
      <c r="F195" s="45">
        <v>4</v>
      </c>
      <c r="G195" s="20">
        <f t="shared" si="3"/>
        <v>4.0508000000000002E-2</v>
      </c>
    </row>
    <row r="196" spans="1:7" x14ac:dyDescent="0.5">
      <c r="A196" s="8">
        <v>193</v>
      </c>
      <c r="B196" s="40">
        <f>COUNTIF($B$1:B195, "&gt;0")+2001</f>
        <v>2193</v>
      </c>
      <c r="C196" s="44">
        <v>41</v>
      </c>
      <c r="D196" s="44">
        <v>38</v>
      </c>
      <c r="E196" s="44">
        <v>26</v>
      </c>
      <c r="F196" s="45">
        <v>4</v>
      </c>
      <c r="G196" s="20">
        <f t="shared" si="3"/>
        <v>4.0508000000000002E-2</v>
      </c>
    </row>
    <row r="197" spans="1:7" x14ac:dyDescent="0.5">
      <c r="A197" s="8">
        <v>194</v>
      </c>
      <c r="B197" s="40">
        <f>COUNTIF($B$1:B196, "&gt;0")+2001</f>
        <v>2194</v>
      </c>
      <c r="C197" s="44">
        <v>41</v>
      </c>
      <c r="D197" s="44">
        <v>38</v>
      </c>
      <c r="E197" s="44">
        <v>26</v>
      </c>
      <c r="F197" s="45">
        <v>4</v>
      </c>
      <c r="G197" s="20">
        <f t="shared" si="3"/>
        <v>4.0508000000000002E-2</v>
      </c>
    </row>
    <row r="198" spans="1:7" x14ac:dyDescent="0.5">
      <c r="A198" s="8">
        <v>195</v>
      </c>
      <c r="B198" s="40">
        <f>COUNTIF($B$1:B197, "&gt;0")+2001</f>
        <v>2195</v>
      </c>
      <c r="C198" s="44">
        <v>41</v>
      </c>
      <c r="D198" s="44">
        <v>38</v>
      </c>
      <c r="E198" s="44">
        <v>26</v>
      </c>
      <c r="F198" s="45">
        <v>4</v>
      </c>
      <c r="G198" s="20">
        <f t="shared" si="3"/>
        <v>4.0508000000000002E-2</v>
      </c>
    </row>
    <row r="199" spans="1:7" x14ac:dyDescent="0.5">
      <c r="A199" s="8">
        <v>196</v>
      </c>
      <c r="B199" s="40">
        <f>COUNTIF($B$1:B198, "&gt;0")+2001</f>
        <v>2196</v>
      </c>
      <c r="C199" s="44">
        <v>41</v>
      </c>
      <c r="D199" s="44">
        <v>38</v>
      </c>
      <c r="E199" s="44">
        <v>26</v>
      </c>
      <c r="F199" s="45">
        <v>4</v>
      </c>
      <c r="G199" s="20">
        <f t="shared" si="3"/>
        <v>4.0508000000000002E-2</v>
      </c>
    </row>
    <row r="200" spans="1:7" x14ac:dyDescent="0.5">
      <c r="A200" s="8">
        <v>197</v>
      </c>
      <c r="B200" s="40">
        <f>COUNTIF($B$1:B199, "&gt;0")+2001</f>
        <v>2197</v>
      </c>
      <c r="C200" s="44">
        <v>41</v>
      </c>
      <c r="D200" s="44">
        <v>38</v>
      </c>
      <c r="E200" s="44">
        <v>26</v>
      </c>
      <c r="F200" s="45">
        <v>4</v>
      </c>
      <c r="G200" s="20">
        <f t="shared" si="3"/>
        <v>4.0508000000000002E-2</v>
      </c>
    </row>
    <row r="201" spans="1:7" x14ac:dyDescent="0.5">
      <c r="A201" s="8">
        <v>198</v>
      </c>
      <c r="B201" s="40">
        <f>COUNTIF($B$1:B200, "&gt;0")+2001</f>
        <v>2198</v>
      </c>
      <c r="C201" s="44">
        <v>41</v>
      </c>
      <c r="D201" s="44">
        <v>38</v>
      </c>
      <c r="E201" s="44">
        <v>26</v>
      </c>
      <c r="F201" s="45">
        <v>4</v>
      </c>
      <c r="G201" s="20">
        <f t="shared" si="3"/>
        <v>4.0508000000000002E-2</v>
      </c>
    </row>
    <row r="202" spans="1:7" x14ac:dyDescent="0.5">
      <c r="A202" s="8">
        <v>199</v>
      </c>
      <c r="B202" s="40">
        <f>COUNTIF($B$1:B201, "&gt;0")+2001</f>
        <v>2199</v>
      </c>
      <c r="C202" s="44">
        <v>41</v>
      </c>
      <c r="D202" s="44">
        <v>38</v>
      </c>
      <c r="E202" s="44">
        <v>26</v>
      </c>
      <c r="F202" s="45">
        <v>4</v>
      </c>
      <c r="G202" s="20">
        <f t="shared" si="3"/>
        <v>4.0508000000000002E-2</v>
      </c>
    </row>
    <row r="203" spans="1:7" x14ac:dyDescent="0.5">
      <c r="A203" s="8">
        <v>200</v>
      </c>
      <c r="B203" s="40">
        <f>COUNTIF($B$1:B202, "&gt;0")+2001</f>
        <v>2200</v>
      </c>
      <c r="C203" s="44">
        <v>41</v>
      </c>
      <c r="D203" s="44">
        <v>38</v>
      </c>
      <c r="E203" s="44">
        <v>26</v>
      </c>
      <c r="F203" s="45">
        <v>4</v>
      </c>
      <c r="G203" s="20">
        <f t="shared" si="3"/>
        <v>4.0508000000000002E-2</v>
      </c>
    </row>
    <row r="204" spans="1:7" x14ac:dyDescent="0.5">
      <c r="A204" s="8">
        <v>201</v>
      </c>
      <c r="B204" s="40">
        <f>COUNTIF($B$1:B203, "&gt;0")+2001</f>
        <v>2201</v>
      </c>
      <c r="C204" s="44">
        <v>41</v>
      </c>
      <c r="D204" s="44">
        <v>38</v>
      </c>
      <c r="E204" s="44">
        <v>26</v>
      </c>
      <c r="F204" s="45">
        <v>4</v>
      </c>
      <c r="G204" s="20">
        <f t="shared" si="3"/>
        <v>4.0508000000000002E-2</v>
      </c>
    </row>
    <row r="205" spans="1:7" x14ac:dyDescent="0.5">
      <c r="A205" s="8">
        <v>202</v>
      </c>
      <c r="B205" s="40">
        <f>COUNTIF($B$1:B204, "&gt;0")+2001</f>
        <v>2202</v>
      </c>
      <c r="C205" s="44">
        <v>41</v>
      </c>
      <c r="D205" s="44">
        <v>38</v>
      </c>
      <c r="E205" s="44">
        <v>26</v>
      </c>
      <c r="F205" s="45">
        <v>4</v>
      </c>
      <c r="G205" s="20">
        <f t="shared" si="3"/>
        <v>4.0508000000000002E-2</v>
      </c>
    </row>
    <row r="206" spans="1:7" x14ac:dyDescent="0.5">
      <c r="A206" s="8">
        <v>203</v>
      </c>
      <c r="B206" s="40">
        <f>COUNTIF($B$1:B205, "&gt;0")+2001</f>
        <v>2203</v>
      </c>
      <c r="C206" s="48">
        <v>63</v>
      </c>
      <c r="D206" s="48">
        <v>52</v>
      </c>
      <c r="E206" s="48">
        <v>23</v>
      </c>
      <c r="F206" s="24">
        <v>11</v>
      </c>
      <c r="G206" s="20">
        <f t="shared" si="3"/>
        <v>7.5347999999999998E-2</v>
      </c>
    </row>
    <row r="207" spans="1:7" x14ac:dyDescent="0.5">
      <c r="A207" s="8">
        <v>204</v>
      </c>
      <c r="B207" s="40">
        <f>COUNTIF($B$1:B206, "&gt;0")+2001</f>
        <v>2204</v>
      </c>
      <c r="C207" s="48">
        <v>63</v>
      </c>
      <c r="D207" s="48">
        <v>52</v>
      </c>
      <c r="E207" s="48">
        <v>23</v>
      </c>
      <c r="F207" s="24">
        <v>11</v>
      </c>
      <c r="G207" s="20">
        <f t="shared" si="3"/>
        <v>7.5347999999999998E-2</v>
      </c>
    </row>
    <row r="208" spans="1:7" x14ac:dyDescent="0.5">
      <c r="A208" s="8">
        <v>205</v>
      </c>
      <c r="B208" s="40">
        <f>COUNTIF($B$1:B207, "&gt;0")+2001</f>
        <v>2205</v>
      </c>
      <c r="C208" s="48">
        <v>63</v>
      </c>
      <c r="D208" s="48">
        <v>52</v>
      </c>
      <c r="E208" s="48">
        <v>23</v>
      </c>
      <c r="F208" s="24">
        <v>11</v>
      </c>
      <c r="G208" s="20">
        <f t="shared" si="3"/>
        <v>7.5347999999999998E-2</v>
      </c>
    </row>
    <row r="209" spans="1:7" x14ac:dyDescent="0.5">
      <c r="A209" s="8">
        <v>206</v>
      </c>
      <c r="B209" s="40">
        <f>COUNTIF($B$1:B208, "&gt;0")+2001</f>
        <v>2206</v>
      </c>
      <c r="C209" s="48">
        <v>63</v>
      </c>
      <c r="D209" s="48">
        <v>52</v>
      </c>
      <c r="E209" s="48">
        <v>23</v>
      </c>
      <c r="F209" s="24">
        <v>11</v>
      </c>
      <c r="G209" s="20">
        <f t="shared" si="3"/>
        <v>7.5347999999999998E-2</v>
      </c>
    </row>
    <row r="210" spans="1:7" x14ac:dyDescent="0.5">
      <c r="A210" s="8">
        <v>207</v>
      </c>
      <c r="B210" s="40">
        <f>COUNTIF($B$1:B209, "&gt;0")+2001</f>
        <v>2207</v>
      </c>
      <c r="C210" s="48">
        <v>63</v>
      </c>
      <c r="D210" s="48">
        <v>52</v>
      </c>
      <c r="E210" s="48">
        <v>23</v>
      </c>
      <c r="F210" s="24">
        <v>11</v>
      </c>
      <c r="G210" s="20">
        <f t="shared" si="3"/>
        <v>7.5347999999999998E-2</v>
      </c>
    </row>
    <row r="211" spans="1:7" x14ac:dyDescent="0.5">
      <c r="A211" s="8">
        <v>208</v>
      </c>
      <c r="B211" s="40">
        <f>COUNTIF($B$1:B210, "&gt;0")+2001</f>
        <v>2208</v>
      </c>
      <c r="C211" s="48">
        <v>63</v>
      </c>
      <c r="D211" s="48">
        <v>52</v>
      </c>
      <c r="E211" s="48">
        <v>23</v>
      </c>
      <c r="F211" s="24">
        <v>11</v>
      </c>
      <c r="G211" s="20">
        <f t="shared" si="3"/>
        <v>7.5347999999999998E-2</v>
      </c>
    </row>
    <row r="212" spans="1:7" x14ac:dyDescent="0.5">
      <c r="A212" s="8">
        <v>209</v>
      </c>
      <c r="B212" s="40">
        <f>COUNTIF($B$1:B211, "&gt;0")+2001</f>
        <v>2209</v>
      </c>
      <c r="C212" s="37">
        <v>80</v>
      </c>
      <c r="D212" s="37">
        <v>38</v>
      </c>
      <c r="E212" s="37">
        <v>50</v>
      </c>
      <c r="F212" s="49">
        <v>48</v>
      </c>
      <c r="G212" s="20">
        <f t="shared" si="3"/>
        <v>0.152</v>
      </c>
    </row>
    <row r="213" spans="1:7" x14ac:dyDescent="0.5">
      <c r="A213" s="8">
        <v>210</v>
      </c>
      <c r="B213" s="40">
        <f>COUNTIF($B$1:B212, "&gt;0")+2001</f>
        <v>2210</v>
      </c>
      <c r="C213" s="37">
        <v>80</v>
      </c>
      <c r="D213" s="37">
        <v>38</v>
      </c>
      <c r="E213" s="37">
        <v>50</v>
      </c>
      <c r="F213" s="49">
        <v>48</v>
      </c>
      <c r="G213" s="20">
        <f t="shared" si="3"/>
        <v>0.152</v>
      </c>
    </row>
    <row r="214" spans="1:7" x14ac:dyDescent="0.5">
      <c r="A214" s="8">
        <v>211</v>
      </c>
      <c r="B214" s="40">
        <f>COUNTIF($B$1:B213, "&gt;0")+2001</f>
        <v>2211</v>
      </c>
      <c r="C214" s="37">
        <v>80</v>
      </c>
      <c r="D214" s="37">
        <v>38</v>
      </c>
      <c r="E214" s="37">
        <v>50</v>
      </c>
      <c r="F214" s="49">
        <v>48</v>
      </c>
      <c r="G214" s="20">
        <f t="shared" si="3"/>
        <v>0.152</v>
      </c>
    </row>
    <row r="215" spans="1:7" x14ac:dyDescent="0.5">
      <c r="A215" s="8">
        <v>212</v>
      </c>
      <c r="B215" s="40">
        <f>COUNTIF($B$1:B214, "&gt;0")+2001</f>
        <v>2212</v>
      </c>
      <c r="C215" s="37">
        <v>80</v>
      </c>
      <c r="D215" s="37">
        <v>38</v>
      </c>
      <c r="E215" s="37">
        <v>50</v>
      </c>
      <c r="F215" s="49">
        <v>48</v>
      </c>
      <c r="G215" s="20">
        <f t="shared" si="3"/>
        <v>0.152</v>
      </c>
    </row>
    <row r="216" spans="1:7" x14ac:dyDescent="0.5">
      <c r="A216" s="8">
        <v>213</v>
      </c>
      <c r="B216" s="40">
        <f>COUNTIF($B$1:B215, "&gt;0")+2001</f>
        <v>2213</v>
      </c>
      <c r="C216" s="32">
        <v>92</v>
      </c>
      <c r="D216" s="32">
        <v>49</v>
      </c>
      <c r="E216" s="32">
        <v>46</v>
      </c>
      <c r="F216" s="32">
        <v>46</v>
      </c>
      <c r="G216" s="20">
        <f t="shared" si="3"/>
        <v>0.207368</v>
      </c>
    </row>
    <row r="217" spans="1:7" x14ac:dyDescent="0.5">
      <c r="A217" s="8">
        <v>214</v>
      </c>
      <c r="B217" s="40">
        <f>COUNTIF($B$1:B216, "&gt;0")+2001</f>
        <v>2214</v>
      </c>
      <c r="C217" s="32">
        <v>92</v>
      </c>
      <c r="D217" s="32">
        <v>49</v>
      </c>
      <c r="E217" s="32">
        <v>46</v>
      </c>
      <c r="F217" s="32">
        <v>46</v>
      </c>
      <c r="G217" s="20">
        <f t="shared" si="3"/>
        <v>0.207368</v>
      </c>
    </row>
    <row r="218" spans="1:7" x14ac:dyDescent="0.5">
      <c r="A218" s="8">
        <v>215</v>
      </c>
      <c r="B218" s="40">
        <f>COUNTIF($B$1:B217, "&gt;0")+2001</f>
        <v>2215</v>
      </c>
      <c r="C218" s="32">
        <v>92</v>
      </c>
      <c r="D218" s="32">
        <v>49</v>
      </c>
      <c r="E218" s="32">
        <v>46</v>
      </c>
      <c r="F218" s="32">
        <v>46</v>
      </c>
      <c r="G218" s="20">
        <f t="shared" si="3"/>
        <v>0.207368</v>
      </c>
    </row>
    <row r="219" spans="1:7" x14ac:dyDescent="0.5">
      <c r="A219" s="8">
        <v>216</v>
      </c>
      <c r="B219" s="40">
        <f>COUNTIF($B$1:B218, "&gt;0")+2001</f>
        <v>2216</v>
      </c>
      <c r="C219" s="32">
        <v>92</v>
      </c>
      <c r="D219" s="32">
        <v>49</v>
      </c>
      <c r="E219" s="32">
        <v>46</v>
      </c>
      <c r="F219" s="32">
        <v>46</v>
      </c>
      <c r="G219" s="20">
        <f t="shared" si="3"/>
        <v>0.207368</v>
      </c>
    </row>
    <row r="220" spans="1:7" x14ac:dyDescent="0.5">
      <c r="A220" s="8">
        <v>217</v>
      </c>
      <c r="B220" s="40">
        <f>COUNTIF($B$1:B219, "&gt;0")+2001</f>
        <v>2217</v>
      </c>
      <c r="C220" s="32">
        <v>92</v>
      </c>
      <c r="D220" s="32">
        <v>49</v>
      </c>
      <c r="E220" s="32">
        <v>46</v>
      </c>
      <c r="F220" s="32">
        <v>46</v>
      </c>
      <c r="G220" s="20">
        <f t="shared" si="3"/>
        <v>0.207368</v>
      </c>
    </row>
    <row r="221" spans="1:7" x14ac:dyDescent="0.5">
      <c r="A221" s="8">
        <v>218</v>
      </c>
      <c r="B221" s="40">
        <f>COUNTIF($B$1:B220, "&gt;0")+2001</f>
        <v>2218</v>
      </c>
      <c r="C221" s="32">
        <v>92</v>
      </c>
      <c r="D221" s="32">
        <v>49</v>
      </c>
      <c r="E221" s="32">
        <v>46</v>
      </c>
      <c r="F221" s="32">
        <v>46</v>
      </c>
      <c r="G221" s="20">
        <f t="shared" si="3"/>
        <v>0.207368</v>
      </c>
    </row>
    <row r="222" spans="1:7" x14ac:dyDescent="0.5">
      <c r="A222" s="8">
        <v>219</v>
      </c>
      <c r="B222" s="40">
        <f>COUNTIF($B$1:B221, "&gt;0")+2001</f>
        <v>2219</v>
      </c>
      <c r="C222" s="32">
        <v>92</v>
      </c>
      <c r="D222" s="32">
        <v>49</v>
      </c>
      <c r="E222" s="32">
        <v>46</v>
      </c>
      <c r="F222" s="32">
        <v>46</v>
      </c>
      <c r="G222" s="20">
        <f t="shared" si="3"/>
        <v>0.207368</v>
      </c>
    </row>
    <row r="223" spans="1:7" x14ac:dyDescent="0.5">
      <c r="A223" s="8">
        <v>220</v>
      </c>
      <c r="B223" s="40">
        <f>COUNTIF($B$1:B222, "&gt;0")+2001</f>
        <v>2220</v>
      </c>
      <c r="C223" s="21">
        <v>52</v>
      </c>
      <c r="D223" s="21">
        <v>41</v>
      </c>
      <c r="E223" s="21">
        <v>20</v>
      </c>
      <c r="F223" s="27">
        <v>9</v>
      </c>
      <c r="G223" s="20">
        <f t="shared" si="3"/>
        <v>4.2639999999999997E-2</v>
      </c>
    </row>
    <row r="224" spans="1:7" x14ac:dyDescent="0.5">
      <c r="A224" s="8">
        <v>221</v>
      </c>
      <c r="B224" s="40">
        <f>COUNTIF($B$1:B223, "&gt;0")+2001</f>
        <v>2221</v>
      </c>
      <c r="C224" s="21">
        <v>52</v>
      </c>
      <c r="D224" s="21">
        <v>41</v>
      </c>
      <c r="E224" s="21">
        <v>20</v>
      </c>
      <c r="F224" s="27">
        <v>9</v>
      </c>
      <c r="G224" s="20">
        <f t="shared" si="3"/>
        <v>4.2639999999999997E-2</v>
      </c>
    </row>
    <row r="225" spans="1:7" x14ac:dyDescent="0.5">
      <c r="A225" s="8">
        <v>222</v>
      </c>
      <c r="B225" s="40">
        <f>COUNTIF($B$1:B224, "&gt;0")+2001</f>
        <v>2222</v>
      </c>
      <c r="C225" s="21">
        <v>50</v>
      </c>
      <c r="D225" s="21">
        <v>40</v>
      </c>
      <c r="E225" s="21">
        <v>20</v>
      </c>
      <c r="F225" s="21">
        <v>9</v>
      </c>
      <c r="G225" s="20">
        <f t="shared" si="3"/>
        <v>0.04</v>
      </c>
    </row>
    <row r="226" spans="1:7" x14ac:dyDescent="0.5">
      <c r="A226" s="8">
        <v>223</v>
      </c>
      <c r="B226" s="40">
        <f>COUNTIF($B$1:B225, "&gt;0")+2001</f>
        <v>2223</v>
      </c>
      <c r="C226" s="21">
        <v>50</v>
      </c>
      <c r="D226" s="21">
        <v>40</v>
      </c>
      <c r="E226" s="21">
        <v>20</v>
      </c>
      <c r="F226" s="21">
        <v>9</v>
      </c>
      <c r="G226" s="20">
        <f t="shared" si="3"/>
        <v>0.04</v>
      </c>
    </row>
    <row r="227" spans="1:7" x14ac:dyDescent="0.5">
      <c r="A227" s="8">
        <v>224</v>
      </c>
      <c r="B227" s="40">
        <f>COUNTIF($B$1:B226, "&gt;0")+2001</f>
        <v>2224</v>
      </c>
      <c r="C227" s="21">
        <v>50</v>
      </c>
      <c r="D227" s="21">
        <v>40</v>
      </c>
      <c r="E227" s="21">
        <v>20</v>
      </c>
      <c r="F227" s="21">
        <v>9</v>
      </c>
      <c r="G227" s="20">
        <f t="shared" si="3"/>
        <v>0.04</v>
      </c>
    </row>
    <row r="228" spans="1:7" x14ac:dyDescent="0.5">
      <c r="A228" s="8">
        <v>225</v>
      </c>
      <c r="B228" s="40">
        <f>COUNTIF($B$1:B227, "&gt;0")+2001</f>
        <v>2225</v>
      </c>
      <c r="C228" s="21">
        <v>50</v>
      </c>
      <c r="D228" s="21">
        <v>40</v>
      </c>
      <c r="E228" s="21">
        <v>20</v>
      </c>
      <c r="F228" s="21">
        <v>9</v>
      </c>
      <c r="G228" s="20">
        <f t="shared" si="3"/>
        <v>0.04</v>
      </c>
    </row>
    <row r="229" spans="1:7" x14ac:dyDescent="0.5">
      <c r="A229" s="8">
        <v>226</v>
      </c>
      <c r="B229" s="40">
        <f>COUNTIF($B$1:B228, "&gt;0")+2001</f>
        <v>2226</v>
      </c>
      <c r="C229" s="33">
        <v>41</v>
      </c>
      <c r="D229" s="33">
        <v>35</v>
      </c>
      <c r="E229" s="33">
        <v>17</v>
      </c>
      <c r="F229" s="34">
        <v>6</v>
      </c>
      <c r="G229" s="20">
        <f t="shared" si="3"/>
        <v>2.4395E-2</v>
      </c>
    </row>
    <row r="230" spans="1:7" x14ac:dyDescent="0.5">
      <c r="A230" s="8">
        <v>227</v>
      </c>
      <c r="B230" s="40">
        <f>COUNTIF($B$1:B229, "&gt;0")+2001</f>
        <v>2227</v>
      </c>
      <c r="C230" s="32">
        <v>53</v>
      </c>
      <c r="D230" s="32">
        <v>33</v>
      </c>
      <c r="E230" s="32">
        <v>45</v>
      </c>
      <c r="F230" s="50">
        <v>14</v>
      </c>
      <c r="G230" s="20">
        <f t="shared" si="3"/>
        <v>7.8704999999999997E-2</v>
      </c>
    </row>
    <row r="231" spans="1:7" x14ac:dyDescent="0.5">
      <c r="A231" s="8">
        <v>228</v>
      </c>
      <c r="B231" s="40">
        <f>COUNTIF($B$1:B230, "&gt;0")+2001</f>
        <v>2228</v>
      </c>
      <c r="C231" s="32">
        <v>53</v>
      </c>
      <c r="D231" s="32">
        <v>33</v>
      </c>
      <c r="E231" s="32">
        <v>45</v>
      </c>
      <c r="F231" s="50">
        <v>14</v>
      </c>
      <c r="G231" s="20">
        <f t="shared" si="3"/>
        <v>7.8704999999999997E-2</v>
      </c>
    </row>
    <row r="232" spans="1:7" x14ac:dyDescent="0.5">
      <c r="A232" s="8">
        <v>229</v>
      </c>
      <c r="B232" s="40">
        <f>COUNTIF($B$1:B231, "&gt;0")+2001</f>
        <v>2229</v>
      </c>
      <c r="C232" s="32">
        <v>53</v>
      </c>
      <c r="D232" s="32">
        <v>33</v>
      </c>
      <c r="E232" s="32">
        <v>45</v>
      </c>
      <c r="F232" s="50">
        <v>14</v>
      </c>
      <c r="G232" s="20">
        <f t="shared" si="3"/>
        <v>7.8704999999999997E-2</v>
      </c>
    </row>
    <row r="233" spans="1:7" x14ac:dyDescent="0.5">
      <c r="A233" s="8">
        <v>230</v>
      </c>
      <c r="B233" s="40">
        <f>COUNTIF($B$1:B232, "&gt;0")+2001</f>
        <v>2230</v>
      </c>
      <c r="C233" s="32">
        <v>53</v>
      </c>
      <c r="D233" s="32">
        <v>33</v>
      </c>
      <c r="E233" s="32">
        <v>45</v>
      </c>
      <c r="F233" s="50">
        <v>14</v>
      </c>
      <c r="G233" s="20">
        <f t="shared" si="3"/>
        <v>7.8704999999999997E-2</v>
      </c>
    </row>
    <row r="234" spans="1:7" x14ac:dyDescent="0.5">
      <c r="A234" s="8">
        <v>231</v>
      </c>
      <c r="B234" s="40">
        <f>COUNTIF($B$1:B233, "&gt;0")+2001</f>
        <v>2231</v>
      </c>
      <c r="C234" s="32">
        <v>53</v>
      </c>
      <c r="D234" s="32">
        <v>33</v>
      </c>
      <c r="E234" s="32">
        <v>45</v>
      </c>
      <c r="F234" s="50">
        <v>14</v>
      </c>
      <c r="G234" s="20">
        <f t="shared" si="3"/>
        <v>7.8704999999999997E-2</v>
      </c>
    </row>
    <row r="235" spans="1:7" x14ac:dyDescent="0.5">
      <c r="A235" s="8">
        <v>232</v>
      </c>
      <c r="B235" s="40">
        <f>COUNTIF($B$1:B234, "&gt;0")+2001</f>
        <v>2232</v>
      </c>
      <c r="C235" s="32">
        <v>53</v>
      </c>
      <c r="D235" s="32">
        <v>33</v>
      </c>
      <c r="E235" s="32">
        <v>45</v>
      </c>
      <c r="F235" s="50">
        <v>14</v>
      </c>
      <c r="G235" s="20">
        <f t="shared" si="3"/>
        <v>7.8704999999999997E-2</v>
      </c>
    </row>
    <row r="236" spans="1:7" x14ac:dyDescent="0.5">
      <c r="A236" s="8">
        <v>233</v>
      </c>
      <c r="B236" s="40">
        <f>COUNTIF($B$1:B235, "&gt;0")+2001</f>
        <v>2233</v>
      </c>
      <c r="C236" s="32">
        <v>53</v>
      </c>
      <c r="D236" s="32">
        <v>33</v>
      </c>
      <c r="E236" s="32">
        <v>45</v>
      </c>
      <c r="F236" s="50">
        <v>14</v>
      </c>
      <c r="G236" s="20">
        <f t="shared" si="3"/>
        <v>7.8704999999999997E-2</v>
      </c>
    </row>
    <row r="237" spans="1:7" x14ac:dyDescent="0.5">
      <c r="A237" s="8">
        <v>234</v>
      </c>
      <c r="B237" s="40">
        <f>COUNTIF($B$1:B236, "&gt;0")+2001</f>
        <v>2234</v>
      </c>
      <c r="C237" s="32">
        <v>53</v>
      </c>
      <c r="D237" s="32">
        <v>33</v>
      </c>
      <c r="E237" s="32">
        <v>45</v>
      </c>
      <c r="F237" s="50">
        <v>14</v>
      </c>
      <c r="G237" s="20">
        <f t="shared" si="3"/>
        <v>7.8704999999999997E-2</v>
      </c>
    </row>
    <row r="238" spans="1:7" x14ac:dyDescent="0.5">
      <c r="A238" s="8">
        <v>235</v>
      </c>
      <c r="B238" s="40">
        <f>COUNTIF($B$1:B237, "&gt;0")+2001</f>
        <v>2235</v>
      </c>
      <c r="C238" s="32">
        <v>53</v>
      </c>
      <c r="D238" s="32">
        <v>33</v>
      </c>
      <c r="E238" s="32">
        <v>45</v>
      </c>
      <c r="F238" s="50">
        <v>14</v>
      </c>
      <c r="G238" s="20">
        <f t="shared" si="3"/>
        <v>7.8704999999999997E-2</v>
      </c>
    </row>
    <row r="239" spans="1:7" x14ac:dyDescent="0.5">
      <c r="A239" s="8">
        <v>236</v>
      </c>
      <c r="B239" s="40">
        <f>COUNTIF($B$1:B238, "&gt;0")+2001</f>
        <v>2236</v>
      </c>
      <c r="C239" s="32">
        <v>53</v>
      </c>
      <c r="D239" s="32">
        <v>33</v>
      </c>
      <c r="E239" s="32">
        <v>45</v>
      </c>
      <c r="F239" s="50">
        <v>14</v>
      </c>
      <c r="G239" s="20">
        <f t="shared" si="3"/>
        <v>7.8704999999999997E-2</v>
      </c>
    </row>
    <row r="240" spans="1:7" x14ac:dyDescent="0.5">
      <c r="A240" s="8">
        <v>237</v>
      </c>
      <c r="B240" s="40">
        <f>COUNTIF($B$1:B239, "&gt;0")+2001</f>
        <v>2237</v>
      </c>
      <c r="C240" s="32">
        <v>53</v>
      </c>
      <c r="D240" s="32">
        <v>33</v>
      </c>
      <c r="E240" s="32">
        <v>45</v>
      </c>
      <c r="F240" s="50">
        <v>14</v>
      </c>
      <c r="G240" s="20">
        <f t="shared" si="3"/>
        <v>7.8704999999999997E-2</v>
      </c>
    </row>
    <row r="241" spans="1:7" x14ac:dyDescent="0.5">
      <c r="A241" s="8">
        <v>238</v>
      </c>
      <c r="B241" s="40">
        <f>COUNTIF($B$1:B240, "&gt;0")+2001</f>
        <v>2238</v>
      </c>
      <c r="C241" s="32">
        <v>56</v>
      </c>
      <c r="D241" s="32">
        <v>51</v>
      </c>
      <c r="E241" s="32">
        <v>39</v>
      </c>
      <c r="F241" s="50">
        <v>33</v>
      </c>
      <c r="G241" s="20">
        <f t="shared" si="3"/>
        <v>0.111384</v>
      </c>
    </row>
    <row r="242" spans="1:7" x14ac:dyDescent="0.5">
      <c r="A242" s="8">
        <v>239</v>
      </c>
      <c r="B242" s="40">
        <f>COUNTIF($B$1:B241, "&gt;0")+2001</f>
        <v>2239</v>
      </c>
      <c r="C242" s="32">
        <v>56</v>
      </c>
      <c r="D242" s="32">
        <v>51</v>
      </c>
      <c r="E242" s="32">
        <v>39</v>
      </c>
      <c r="F242" s="50">
        <v>33</v>
      </c>
      <c r="G242" s="20">
        <f t="shared" si="3"/>
        <v>0.111384</v>
      </c>
    </row>
    <row r="243" spans="1:7" x14ac:dyDescent="0.5">
      <c r="A243" s="8">
        <v>240</v>
      </c>
      <c r="B243" s="40">
        <f>COUNTIF($B$1:B242, "&gt;0")+2001</f>
        <v>2240</v>
      </c>
      <c r="C243" s="32">
        <v>56</v>
      </c>
      <c r="D243" s="32">
        <v>51</v>
      </c>
      <c r="E243" s="32">
        <v>39</v>
      </c>
      <c r="F243" s="50">
        <v>33</v>
      </c>
      <c r="G243" s="20">
        <f t="shared" si="3"/>
        <v>0.111384</v>
      </c>
    </row>
    <row r="244" spans="1:7" x14ac:dyDescent="0.5">
      <c r="A244" s="8">
        <v>241</v>
      </c>
      <c r="B244" s="40">
        <f>COUNTIF($B$1:B243, "&gt;0")+2001</f>
        <v>2241</v>
      </c>
      <c r="C244" s="32">
        <v>56</v>
      </c>
      <c r="D244" s="32">
        <v>51</v>
      </c>
      <c r="E244" s="32">
        <v>39</v>
      </c>
      <c r="F244" s="50">
        <v>33</v>
      </c>
      <c r="G244" s="20">
        <f t="shared" si="3"/>
        <v>0.111384</v>
      </c>
    </row>
    <row r="245" spans="1:7" x14ac:dyDescent="0.5">
      <c r="A245" s="8">
        <v>242</v>
      </c>
      <c r="B245" s="40">
        <f>COUNTIF($B$1:B244, "&gt;0")+2001</f>
        <v>2242</v>
      </c>
      <c r="C245" s="32">
        <v>56</v>
      </c>
      <c r="D245" s="32">
        <v>51</v>
      </c>
      <c r="E245" s="32">
        <v>39</v>
      </c>
      <c r="F245" s="50">
        <v>33</v>
      </c>
      <c r="G245" s="20">
        <f t="shared" si="3"/>
        <v>0.111384</v>
      </c>
    </row>
    <row r="246" spans="1:7" x14ac:dyDescent="0.5">
      <c r="A246" s="8">
        <v>243</v>
      </c>
      <c r="B246" s="40">
        <f>COUNTIF($B$1:B245, "&gt;0")+2001</f>
        <v>2243</v>
      </c>
      <c r="C246" s="32">
        <v>56</v>
      </c>
      <c r="D246" s="32">
        <v>51</v>
      </c>
      <c r="E246" s="32">
        <v>39</v>
      </c>
      <c r="F246" s="50">
        <v>33</v>
      </c>
      <c r="G246" s="20">
        <f t="shared" si="3"/>
        <v>0.111384</v>
      </c>
    </row>
    <row r="247" spans="1:7" x14ac:dyDescent="0.5">
      <c r="A247" s="8">
        <v>244</v>
      </c>
      <c r="B247" s="40">
        <f>COUNTIF($B$1:B246, "&gt;0")+2001</f>
        <v>2244</v>
      </c>
      <c r="C247" s="32">
        <v>56</v>
      </c>
      <c r="D247" s="32">
        <v>51</v>
      </c>
      <c r="E247" s="32">
        <v>39</v>
      </c>
      <c r="F247" s="50">
        <v>33</v>
      </c>
      <c r="G247" s="20">
        <f t="shared" si="3"/>
        <v>0.111384</v>
      </c>
    </row>
    <row r="248" spans="1:7" x14ac:dyDescent="0.5">
      <c r="A248" s="8">
        <v>245</v>
      </c>
      <c r="B248" s="40">
        <f>COUNTIF($B$1:B247, "&gt;0")+2001</f>
        <v>2245</v>
      </c>
      <c r="C248" s="32">
        <v>56</v>
      </c>
      <c r="D248" s="32">
        <v>51</v>
      </c>
      <c r="E248" s="32">
        <v>39</v>
      </c>
      <c r="F248" s="50">
        <v>33</v>
      </c>
      <c r="G248" s="20">
        <f t="shared" si="3"/>
        <v>0.111384</v>
      </c>
    </row>
    <row r="249" spans="1:7" x14ac:dyDescent="0.5">
      <c r="A249" s="8">
        <v>246</v>
      </c>
      <c r="B249" s="40">
        <f>COUNTIF($B$1:B248, "&gt;0")+2001</f>
        <v>2246</v>
      </c>
      <c r="C249" s="32">
        <v>56</v>
      </c>
      <c r="D249" s="32">
        <v>51</v>
      </c>
      <c r="E249" s="32">
        <v>39</v>
      </c>
      <c r="F249" s="50">
        <v>33</v>
      </c>
      <c r="G249" s="20">
        <f t="shared" si="3"/>
        <v>0.111384</v>
      </c>
    </row>
    <row r="250" spans="1:7" x14ac:dyDescent="0.5">
      <c r="A250" s="8">
        <v>247</v>
      </c>
      <c r="B250" s="40">
        <f>COUNTIF($B$1:B249, "&gt;0")+2001</f>
        <v>2247</v>
      </c>
      <c r="C250" s="32">
        <v>56</v>
      </c>
      <c r="D250" s="32">
        <v>51</v>
      </c>
      <c r="E250" s="32">
        <v>39</v>
      </c>
      <c r="F250" s="50">
        <v>33</v>
      </c>
      <c r="G250" s="20">
        <f t="shared" si="3"/>
        <v>0.111384</v>
      </c>
    </row>
    <row r="251" spans="1:7" x14ac:dyDescent="0.5">
      <c r="A251" s="8">
        <v>248</v>
      </c>
      <c r="B251" s="40">
        <f>COUNTIF($B$1:B250, "&gt;0")+2001</f>
        <v>2248</v>
      </c>
      <c r="C251" s="32">
        <v>56</v>
      </c>
      <c r="D251" s="32">
        <v>51</v>
      </c>
      <c r="E251" s="32">
        <v>39</v>
      </c>
      <c r="F251" s="50">
        <v>33</v>
      </c>
      <c r="G251" s="20">
        <f t="shared" si="3"/>
        <v>0.111384</v>
      </c>
    </row>
    <row r="252" spans="1:7" x14ac:dyDescent="0.5">
      <c r="A252" s="8">
        <v>249</v>
      </c>
      <c r="B252" s="40">
        <f>COUNTIF($B$1:B251, "&gt;0")+2001</f>
        <v>2249</v>
      </c>
      <c r="C252" s="32">
        <v>56</v>
      </c>
      <c r="D252" s="32">
        <v>51</v>
      </c>
      <c r="E252" s="32">
        <v>39</v>
      </c>
      <c r="F252" s="50">
        <v>33</v>
      </c>
      <c r="G252" s="20">
        <f t="shared" ref="G252" si="4">PRODUCT(C252:E252)/1000000</f>
        <v>0.111384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6"/>
  <sheetViews>
    <sheetView tabSelected="1" workbookViewId="0">
      <selection activeCell="A2" sqref="A2:G106"/>
    </sheetView>
  </sheetViews>
  <sheetFormatPr defaultRowHeight="14.35" x14ac:dyDescent="0.5"/>
  <sheetData>
    <row r="2" spans="1:7" x14ac:dyDescent="0.5">
      <c r="A2" s="7" t="s">
        <v>6</v>
      </c>
      <c r="B2" s="4" t="s">
        <v>0</v>
      </c>
      <c r="C2" s="4" t="s">
        <v>2</v>
      </c>
      <c r="D2" s="4" t="s">
        <v>3</v>
      </c>
      <c r="E2" s="4" t="s">
        <v>4</v>
      </c>
      <c r="F2" s="5" t="s">
        <v>1</v>
      </c>
      <c r="G2" s="4" t="s">
        <v>5</v>
      </c>
    </row>
    <row r="3" spans="1:7" x14ac:dyDescent="0.5">
      <c r="A3" s="8">
        <v>250</v>
      </c>
      <c r="B3" s="40">
        <f>COUNTIF($B$1:B2, "&gt;0")+2001</f>
        <v>2001</v>
      </c>
      <c r="C3" s="32">
        <v>56</v>
      </c>
      <c r="D3" s="32">
        <v>51</v>
      </c>
      <c r="E3" s="32">
        <v>39</v>
      </c>
      <c r="F3" s="50">
        <v>33</v>
      </c>
      <c r="G3" s="20">
        <f t="shared" ref="G3:G65" si="0">PRODUCT(C3:E3)/1000000</f>
        <v>0.111384</v>
      </c>
    </row>
    <row r="4" spans="1:7" x14ac:dyDescent="0.5">
      <c r="A4" s="8">
        <v>251</v>
      </c>
      <c r="B4" s="40">
        <f>COUNTIF($B$1:B3, "&gt;0")+2001</f>
        <v>2002</v>
      </c>
      <c r="C4" s="32">
        <v>56</v>
      </c>
      <c r="D4" s="32">
        <v>51</v>
      </c>
      <c r="E4" s="32">
        <v>39</v>
      </c>
      <c r="F4" s="50">
        <v>33</v>
      </c>
      <c r="G4" s="20">
        <f t="shared" si="0"/>
        <v>0.111384</v>
      </c>
    </row>
    <row r="5" spans="1:7" x14ac:dyDescent="0.5">
      <c r="A5" s="8">
        <v>252</v>
      </c>
      <c r="B5" s="40">
        <f>COUNTIF($B$1:B4, "&gt;0")+2001</f>
        <v>2003</v>
      </c>
      <c r="C5" s="32">
        <v>56</v>
      </c>
      <c r="D5" s="32">
        <v>51</v>
      </c>
      <c r="E5" s="32">
        <v>39</v>
      </c>
      <c r="F5" s="50">
        <v>33</v>
      </c>
      <c r="G5" s="20">
        <f t="shared" si="0"/>
        <v>0.111384</v>
      </c>
    </row>
    <row r="6" spans="1:7" x14ac:dyDescent="0.5">
      <c r="A6" s="8">
        <v>253</v>
      </c>
      <c r="B6" s="40">
        <f>COUNTIF($B$1:B5, "&gt;0")+2001</f>
        <v>2004</v>
      </c>
      <c r="C6" s="32">
        <v>87</v>
      </c>
      <c r="D6" s="32">
        <v>36</v>
      </c>
      <c r="E6" s="32">
        <v>34</v>
      </c>
      <c r="F6" s="50">
        <v>25</v>
      </c>
      <c r="G6" s="20">
        <f t="shared" si="0"/>
        <v>0.106488</v>
      </c>
    </row>
    <row r="7" spans="1:7" x14ac:dyDescent="0.5">
      <c r="A7" s="8">
        <v>254</v>
      </c>
      <c r="B7" s="40">
        <f>COUNTIF($B$1:B6, "&gt;0")+2001</f>
        <v>2005</v>
      </c>
      <c r="C7" s="32">
        <v>87</v>
      </c>
      <c r="D7" s="32">
        <v>36</v>
      </c>
      <c r="E7" s="32">
        <v>34</v>
      </c>
      <c r="F7" s="50">
        <v>25</v>
      </c>
      <c r="G7" s="20">
        <f t="shared" si="0"/>
        <v>0.106488</v>
      </c>
    </row>
    <row r="8" spans="1:7" x14ac:dyDescent="0.5">
      <c r="A8" s="8">
        <v>255</v>
      </c>
      <c r="B8" s="40">
        <f>COUNTIF($B$1:B7, "&gt;0")+2001</f>
        <v>2006</v>
      </c>
      <c r="C8" s="32">
        <v>87</v>
      </c>
      <c r="D8" s="32">
        <v>36</v>
      </c>
      <c r="E8" s="32">
        <v>34</v>
      </c>
      <c r="F8" s="50">
        <v>25</v>
      </c>
      <c r="G8" s="20">
        <f t="shared" si="0"/>
        <v>0.106488</v>
      </c>
    </row>
    <row r="9" spans="1:7" x14ac:dyDescent="0.5">
      <c r="A9" s="8">
        <v>256</v>
      </c>
      <c r="B9" s="40">
        <f>COUNTIF($B$1:B8, "&gt;0")+2001</f>
        <v>2007</v>
      </c>
      <c r="C9" s="32">
        <v>87</v>
      </c>
      <c r="D9" s="32">
        <v>36</v>
      </c>
      <c r="E9" s="32">
        <v>34</v>
      </c>
      <c r="F9" s="50">
        <v>25</v>
      </c>
      <c r="G9" s="20">
        <f t="shared" si="0"/>
        <v>0.106488</v>
      </c>
    </row>
    <row r="10" spans="1:7" x14ac:dyDescent="0.5">
      <c r="A10" s="8">
        <v>257</v>
      </c>
      <c r="B10" s="40">
        <f>COUNTIF($B$1:B9, "&gt;0")+2001</f>
        <v>2008</v>
      </c>
      <c r="C10" s="32">
        <v>87</v>
      </c>
      <c r="D10" s="32">
        <v>36</v>
      </c>
      <c r="E10" s="32">
        <v>34</v>
      </c>
      <c r="F10" s="50">
        <v>25</v>
      </c>
      <c r="G10" s="20">
        <f t="shared" si="0"/>
        <v>0.106488</v>
      </c>
    </row>
    <row r="11" spans="1:7" x14ac:dyDescent="0.5">
      <c r="A11" s="8">
        <v>258</v>
      </c>
      <c r="B11" s="40">
        <f>COUNTIF($B$1:B10, "&gt;0")+2001</f>
        <v>2009</v>
      </c>
      <c r="C11" s="32">
        <v>87</v>
      </c>
      <c r="D11" s="32">
        <v>36</v>
      </c>
      <c r="E11" s="32">
        <v>34</v>
      </c>
      <c r="F11" s="50">
        <v>25</v>
      </c>
      <c r="G11" s="20">
        <f t="shared" si="0"/>
        <v>0.106488</v>
      </c>
    </row>
    <row r="12" spans="1:7" x14ac:dyDescent="0.5">
      <c r="A12" s="8">
        <v>259</v>
      </c>
      <c r="B12" s="40">
        <f>COUNTIF($B$1:B11, "&gt;0")+2001</f>
        <v>2010</v>
      </c>
      <c r="C12" s="32">
        <v>87</v>
      </c>
      <c r="D12" s="32">
        <v>36</v>
      </c>
      <c r="E12" s="32">
        <v>34</v>
      </c>
      <c r="F12" s="50">
        <v>25</v>
      </c>
      <c r="G12" s="20">
        <f t="shared" si="0"/>
        <v>0.106488</v>
      </c>
    </row>
    <row r="13" spans="1:7" x14ac:dyDescent="0.5">
      <c r="A13" s="8">
        <v>260</v>
      </c>
      <c r="B13" s="40">
        <f>COUNTIF($B$1:B12, "&gt;0")+2001</f>
        <v>2011</v>
      </c>
      <c r="C13" s="32">
        <v>87</v>
      </c>
      <c r="D13" s="32">
        <v>36</v>
      </c>
      <c r="E13" s="32">
        <v>34</v>
      </c>
      <c r="F13" s="50">
        <v>25</v>
      </c>
      <c r="G13" s="20">
        <f t="shared" si="0"/>
        <v>0.106488</v>
      </c>
    </row>
    <row r="14" spans="1:7" x14ac:dyDescent="0.5">
      <c r="A14" s="8">
        <v>261</v>
      </c>
      <c r="B14" s="40">
        <f>COUNTIF($B$1:B13, "&gt;0")+2001</f>
        <v>2012</v>
      </c>
      <c r="C14" s="32">
        <v>87</v>
      </c>
      <c r="D14" s="32">
        <v>36</v>
      </c>
      <c r="E14" s="32">
        <v>34</v>
      </c>
      <c r="F14" s="50">
        <v>25</v>
      </c>
      <c r="G14" s="20">
        <f t="shared" si="0"/>
        <v>0.106488</v>
      </c>
    </row>
    <row r="15" spans="1:7" x14ac:dyDescent="0.5">
      <c r="A15" s="8">
        <v>262</v>
      </c>
      <c r="B15" s="40">
        <f>COUNTIF($B$1:B14, "&gt;0")+2001</f>
        <v>2013</v>
      </c>
      <c r="C15" s="32">
        <v>87</v>
      </c>
      <c r="D15" s="32">
        <v>36</v>
      </c>
      <c r="E15" s="32">
        <v>34</v>
      </c>
      <c r="F15" s="50">
        <v>25</v>
      </c>
      <c r="G15" s="20">
        <f t="shared" si="0"/>
        <v>0.106488</v>
      </c>
    </row>
    <row r="16" spans="1:7" x14ac:dyDescent="0.5">
      <c r="A16" s="8">
        <v>263</v>
      </c>
      <c r="B16" s="40">
        <f>COUNTIF($B$1:B15, "&gt;0")+2001</f>
        <v>2014</v>
      </c>
      <c r="C16" s="32">
        <v>87</v>
      </c>
      <c r="D16" s="32">
        <v>36</v>
      </c>
      <c r="E16" s="32">
        <v>34</v>
      </c>
      <c r="F16" s="50">
        <v>25</v>
      </c>
      <c r="G16" s="20">
        <f t="shared" si="0"/>
        <v>0.106488</v>
      </c>
    </row>
    <row r="17" spans="1:7" x14ac:dyDescent="0.5">
      <c r="A17" s="8">
        <v>264</v>
      </c>
      <c r="B17" s="40">
        <f>COUNTIF($B$1:B16, "&gt;0")+2001</f>
        <v>2015</v>
      </c>
      <c r="C17" s="32">
        <v>87</v>
      </c>
      <c r="D17" s="32">
        <v>36</v>
      </c>
      <c r="E17" s="32">
        <v>34</v>
      </c>
      <c r="F17" s="50">
        <v>25</v>
      </c>
      <c r="G17" s="20">
        <f t="shared" si="0"/>
        <v>0.106488</v>
      </c>
    </row>
    <row r="18" spans="1:7" x14ac:dyDescent="0.5">
      <c r="A18" s="8">
        <v>265</v>
      </c>
      <c r="B18" s="40">
        <f>COUNTIF($B$1:B17, "&gt;0")+2001</f>
        <v>2016</v>
      </c>
      <c r="C18" s="32">
        <v>87</v>
      </c>
      <c r="D18" s="32">
        <v>36</v>
      </c>
      <c r="E18" s="32">
        <v>34</v>
      </c>
      <c r="F18" s="50">
        <v>25</v>
      </c>
      <c r="G18" s="20">
        <f t="shared" si="0"/>
        <v>0.106488</v>
      </c>
    </row>
    <row r="19" spans="1:7" x14ac:dyDescent="0.5">
      <c r="A19" s="8">
        <v>266</v>
      </c>
      <c r="B19" s="40">
        <f>COUNTIF($B$1:B18, "&gt;0")+2001</f>
        <v>2017</v>
      </c>
      <c r="C19" s="32">
        <v>87</v>
      </c>
      <c r="D19" s="32">
        <v>36</v>
      </c>
      <c r="E19" s="32">
        <v>34</v>
      </c>
      <c r="F19" s="50">
        <v>25</v>
      </c>
      <c r="G19" s="20">
        <f t="shared" si="0"/>
        <v>0.106488</v>
      </c>
    </row>
    <row r="20" spans="1:7" x14ac:dyDescent="0.5">
      <c r="A20" s="8">
        <v>267</v>
      </c>
      <c r="B20" s="40">
        <f>COUNTIF($B$1:B19, "&gt;0")+2001</f>
        <v>2018</v>
      </c>
      <c r="C20" s="32">
        <v>87</v>
      </c>
      <c r="D20" s="32">
        <v>36</v>
      </c>
      <c r="E20" s="32">
        <v>34</v>
      </c>
      <c r="F20" s="50">
        <v>25</v>
      </c>
      <c r="G20" s="20">
        <f t="shared" si="0"/>
        <v>0.106488</v>
      </c>
    </row>
    <row r="21" spans="1:7" x14ac:dyDescent="0.5">
      <c r="A21" s="8">
        <v>268</v>
      </c>
      <c r="B21" s="40">
        <f>COUNTIF($B$1:B20, "&gt;0")+2001</f>
        <v>2019</v>
      </c>
      <c r="C21" s="23">
        <v>114</v>
      </c>
      <c r="D21" s="23">
        <v>44</v>
      </c>
      <c r="E21" s="23">
        <v>40</v>
      </c>
      <c r="F21" s="24">
        <v>35</v>
      </c>
      <c r="G21" s="20">
        <f t="shared" si="0"/>
        <v>0.20064000000000001</v>
      </c>
    </row>
    <row r="22" spans="1:7" x14ac:dyDescent="0.5">
      <c r="A22" s="8">
        <v>269</v>
      </c>
      <c r="B22" s="40">
        <f>COUNTIF($B$1:B21, "&gt;0")+2001</f>
        <v>2020</v>
      </c>
      <c r="C22" s="23">
        <v>114</v>
      </c>
      <c r="D22" s="23">
        <v>44</v>
      </c>
      <c r="E22" s="23">
        <v>40</v>
      </c>
      <c r="F22" s="24">
        <v>35</v>
      </c>
      <c r="G22" s="20">
        <f t="shared" si="0"/>
        <v>0.20064000000000001</v>
      </c>
    </row>
    <row r="23" spans="1:7" x14ac:dyDescent="0.5">
      <c r="A23" s="8">
        <v>270</v>
      </c>
      <c r="B23" s="40">
        <f>COUNTIF($B$1:B22, "&gt;0")+2001</f>
        <v>2021</v>
      </c>
      <c r="C23" s="23">
        <v>114</v>
      </c>
      <c r="D23" s="23">
        <v>44</v>
      </c>
      <c r="E23" s="23">
        <v>40</v>
      </c>
      <c r="F23" s="24">
        <v>35</v>
      </c>
      <c r="G23" s="20">
        <f t="shared" si="0"/>
        <v>0.20064000000000001</v>
      </c>
    </row>
    <row r="24" spans="1:7" x14ac:dyDescent="0.5">
      <c r="A24" s="8">
        <v>271</v>
      </c>
      <c r="B24" s="40">
        <f>COUNTIF($B$1:B23, "&gt;0")+2001</f>
        <v>2022</v>
      </c>
      <c r="C24" s="17">
        <v>101</v>
      </c>
      <c r="D24" s="17">
        <v>34</v>
      </c>
      <c r="E24" s="17">
        <v>36</v>
      </c>
      <c r="F24" s="31">
        <v>20</v>
      </c>
      <c r="G24" s="20">
        <f t="shared" si="0"/>
        <v>0.123624</v>
      </c>
    </row>
    <row r="25" spans="1:7" x14ac:dyDescent="0.5">
      <c r="A25" s="8">
        <v>272</v>
      </c>
      <c r="B25" s="40">
        <f>COUNTIF($B$1:B24, "&gt;0")+2001</f>
        <v>2023</v>
      </c>
      <c r="C25" s="17">
        <v>101</v>
      </c>
      <c r="D25" s="17">
        <v>34</v>
      </c>
      <c r="E25" s="17">
        <v>36</v>
      </c>
      <c r="F25" s="31">
        <v>20</v>
      </c>
      <c r="G25" s="20">
        <f t="shared" si="0"/>
        <v>0.123624</v>
      </c>
    </row>
    <row r="26" spans="1:7" x14ac:dyDescent="0.5">
      <c r="A26" s="8">
        <v>273</v>
      </c>
      <c r="B26" s="40">
        <f>COUNTIF($B$1:B25, "&gt;0")+2001</f>
        <v>2024</v>
      </c>
      <c r="C26" s="17">
        <v>101</v>
      </c>
      <c r="D26" s="17">
        <v>34</v>
      </c>
      <c r="E26" s="17">
        <v>36</v>
      </c>
      <c r="F26" s="31">
        <v>20</v>
      </c>
      <c r="G26" s="20">
        <f t="shared" si="0"/>
        <v>0.123624</v>
      </c>
    </row>
    <row r="27" spans="1:7" x14ac:dyDescent="0.5">
      <c r="A27" s="8">
        <v>274</v>
      </c>
      <c r="B27" s="40">
        <f>COUNTIF($B$1:B26, "&gt;0")+2001</f>
        <v>2025</v>
      </c>
      <c r="C27" s="32">
        <v>72</v>
      </c>
      <c r="D27" s="32">
        <v>32</v>
      </c>
      <c r="E27" s="32">
        <v>38</v>
      </c>
      <c r="F27" s="50">
        <v>18</v>
      </c>
      <c r="G27" s="20">
        <f t="shared" si="0"/>
        <v>8.7552000000000005E-2</v>
      </c>
    </row>
    <row r="28" spans="1:7" x14ac:dyDescent="0.5">
      <c r="A28" s="8">
        <v>275</v>
      </c>
      <c r="B28" s="40">
        <f>COUNTIF($B$1:B27, "&gt;0")+2001</f>
        <v>2026</v>
      </c>
      <c r="C28" s="32">
        <v>72</v>
      </c>
      <c r="D28" s="32">
        <v>32</v>
      </c>
      <c r="E28" s="32">
        <v>38</v>
      </c>
      <c r="F28" s="50">
        <v>18</v>
      </c>
      <c r="G28" s="20">
        <f t="shared" si="0"/>
        <v>8.7552000000000005E-2</v>
      </c>
    </row>
    <row r="29" spans="1:7" x14ac:dyDescent="0.5">
      <c r="A29" s="8">
        <v>276</v>
      </c>
      <c r="B29" s="40">
        <f>COUNTIF($B$1:B28, "&gt;0")+2001</f>
        <v>2027</v>
      </c>
      <c r="C29" s="32">
        <v>72</v>
      </c>
      <c r="D29" s="32">
        <v>32</v>
      </c>
      <c r="E29" s="32">
        <v>38</v>
      </c>
      <c r="F29" s="50">
        <v>18</v>
      </c>
      <c r="G29" s="20">
        <f t="shared" si="0"/>
        <v>8.7552000000000005E-2</v>
      </c>
    </row>
    <row r="30" spans="1:7" x14ac:dyDescent="0.5">
      <c r="A30" s="8">
        <v>277</v>
      </c>
      <c r="B30" s="40">
        <f>COUNTIF($B$1:B29, "&gt;0")+2001</f>
        <v>2028</v>
      </c>
      <c r="C30" s="32">
        <v>72</v>
      </c>
      <c r="D30" s="32">
        <v>32</v>
      </c>
      <c r="E30" s="32">
        <v>38</v>
      </c>
      <c r="F30" s="50">
        <v>18</v>
      </c>
      <c r="G30" s="20">
        <f t="shared" si="0"/>
        <v>8.7552000000000005E-2</v>
      </c>
    </row>
    <row r="31" spans="1:7" x14ac:dyDescent="0.5">
      <c r="A31" s="8">
        <v>278</v>
      </c>
      <c r="B31" s="40">
        <f>COUNTIF($B$1:B30, "&gt;0")+2001</f>
        <v>2029</v>
      </c>
      <c r="C31" s="21">
        <v>170</v>
      </c>
      <c r="D31" s="21">
        <v>109</v>
      </c>
      <c r="E31" s="21">
        <v>67</v>
      </c>
      <c r="F31" s="21">
        <v>222</v>
      </c>
      <c r="G31" s="16">
        <f t="shared" si="0"/>
        <v>1.2415099999999999</v>
      </c>
    </row>
    <row r="32" spans="1:7" x14ac:dyDescent="0.5">
      <c r="A32" s="8">
        <v>279</v>
      </c>
      <c r="B32" s="40">
        <f>COUNTIF($B$1:B31, "&gt;0")+2001</f>
        <v>2030</v>
      </c>
      <c r="C32" s="21">
        <v>170</v>
      </c>
      <c r="D32" s="21">
        <v>109</v>
      </c>
      <c r="E32" s="21">
        <v>67</v>
      </c>
      <c r="F32" s="21">
        <v>222</v>
      </c>
      <c r="G32" s="16">
        <f t="shared" si="0"/>
        <v>1.2415099999999999</v>
      </c>
    </row>
    <row r="33" spans="1:7" x14ac:dyDescent="0.5">
      <c r="A33" s="8">
        <v>280</v>
      </c>
      <c r="B33" s="40">
        <f>COUNTIF($B$1:B32, "&gt;0")+2001</f>
        <v>2031</v>
      </c>
      <c r="C33" s="21">
        <v>170</v>
      </c>
      <c r="D33" s="21">
        <v>109</v>
      </c>
      <c r="E33" s="21">
        <v>67</v>
      </c>
      <c r="F33" s="21">
        <v>222</v>
      </c>
      <c r="G33" s="16">
        <f t="shared" si="0"/>
        <v>1.2415099999999999</v>
      </c>
    </row>
    <row r="34" spans="1:7" x14ac:dyDescent="0.5">
      <c r="A34" s="8">
        <v>281</v>
      </c>
      <c r="B34" s="40">
        <f>COUNTIF($B$1:B33, "&gt;0")+2001</f>
        <v>2032</v>
      </c>
      <c r="C34" s="21">
        <v>170</v>
      </c>
      <c r="D34" s="21">
        <v>109</v>
      </c>
      <c r="E34" s="21">
        <v>67</v>
      </c>
      <c r="F34" s="21">
        <v>222</v>
      </c>
      <c r="G34" s="16">
        <f t="shared" si="0"/>
        <v>1.2415099999999999</v>
      </c>
    </row>
    <row r="35" spans="1:7" x14ac:dyDescent="0.5">
      <c r="A35" s="8">
        <v>282</v>
      </c>
      <c r="B35" s="40">
        <f>COUNTIF($B$1:B34, "&gt;0")+2001</f>
        <v>2033</v>
      </c>
      <c r="C35" s="21">
        <v>170</v>
      </c>
      <c r="D35" s="21">
        <v>109</v>
      </c>
      <c r="E35" s="21">
        <v>67</v>
      </c>
      <c r="F35" s="21">
        <v>222</v>
      </c>
      <c r="G35" s="16">
        <f t="shared" si="0"/>
        <v>1.2415099999999999</v>
      </c>
    </row>
    <row r="36" spans="1:7" x14ac:dyDescent="0.5">
      <c r="A36" s="8">
        <v>283</v>
      </c>
      <c r="B36" s="40">
        <f>COUNTIF($B$1:B35, "&gt;0")+2001</f>
        <v>2034</v>
      </c>
      <c r="C36" s="18">
        <v>49</v>
      </c>
      <c r="D36" s="18">
        <v>31</v>
      </c>
      <c r="E36" s="18">
        <v>26</v>
      </c>
      <c r="F36" s="51">
        <v>5</v>
      </c>
      <c r="G36" s="20">
        <f t="shared" si="0"/>
        <v>3.9494000000000001E-2</v>
      </c>
    </row>
    <row r="37" spans="1:7" x14ac:dyDescent="0.5">
      <c r="A37" s="8">
        <v>284</v>
      </c>
      <c r="B37" s="40">
        <f>COUNTIF($B$1:B36, "&gt;0")+2001</f>
        <v>2035</v>
      </c>
      <c r="C37" s="18">
        <v>170</v>
      </c>
      <c r="D37" s="18">
        <v>109</v>
      </c>
      <c r="E37" s="18">
        <v>67</v>
      </c>
      <c r="F37" s="51">
        <v>125</v>
      </c>
      <c r="G37" s="20">
        <f t="shared" si="0"/>
        <v>1.2415099999999999</v>
      </c>
    </row>
    <row r="38" spans="1:7" x14ac:dyDescent="0.5">
      <c r="A38" s="8">
        <v>285</v>
      </c>
      <c r="B38" s="40">
        <f>COUNTIF($B$1:B37, "&gt;0")+2001</f>
        <v>2036</v>
      </c>
      <c r="C38" s="9">
        <v>91</v>
      </c>
      <c r="D38" s="9">
        <v>60</v>
      </c>
      <c r="E38" s="9">
        <v>37</v>
      </c>
      <c r="F38" s="43">
        <v>53</v>
      </c>
      <c r="G38" s="20">
        <f t="shared" si="0"/>
        <v>0.20202000000000001</v>
      </c>
    </row>
    <row r="39" spans="1:7" x14ac:dyDescent="0.5">
      <c r="A39" s="8">
        <v>286</v>
      </c>
      <c r="B39" s="40">
        <f>COUNTIF($B$1:B38, "&gt;0")+2001</f>
        <v>2037</v>
      </c>
      <c r="C39" s="9">
        <v>91</v>
      </c>
      <c r="D39" s="9">
        <v>60</v>
      </c>
      <c r="E39" s="9">
        <v>37</v>
      </c>
      <c r="F39" s="43">
        <v>53</v>
      </c>
      <c r="G39" s="20">
        <f t="shared" si="0"/>
        <v>0.20202000000000001</v>
      </c>
    </row>
    <row r="40" spans="1:7" x14ac:dyDescent="0.5">
      <c r="A40" s="8">
        <v>287</v>
      </c>
      <c r="B40" s="40">
        <f>COUNTIF($B$1:B39, "&gt;0")+2001</f>
        <v>2038</v>
      </c>
      <c r="C40" s="9">
        <v>91</v>
      </c>
      <c r="D40" s="9">
        <v>60</v>
      </c>
      <c r="E40" s="9">
        <v>37</v>
      </c>
      <c r="F40" s="43">
        <v>53</v>
      </c>
      <c r="G40" s="20">
        <f t="shared" si="0"/>
        <v>0.20202000000000001</v>
      </c>
    </row>
    <row r="41" spans="1:7" x14ac:dyDescent="0.5">
      <c r="A41" s="8">
        <v>288</v>
      </c>
      <c r="B41" s="40">
        <f>COUNTIF($B$1:B40, "&gt;0")+2001</f>
        <v>2039</v>
      </c>
      <c r="C41" s="9">
        <v>91</v>
      </c>
      <c r="D41" s="9">
        <v>60</v>
      </c>
      <c r="E41" s="9">
        <v>37</v>
      </c>
      <c r="F41" s="43">
        <v>53</v>
      </c>
      <c r="G41" s="20">
        <f t="shared" si="0"/>
        <v>0.20202000000000001</v>
      </c>
    </row>
    <row r="42" spans="1:7" x14ac:dyDescent="0.5">
      <c r="A42" s="8">
        <v>289</v>
      </c>
      <c r="B42" s="40">
        <f>COUNTIF($B$1:B41, "&gt;0")+2001</f>
        <v>2040</v>
      </c>
      <c r="C42" s="9">
        <v>91</v>
      </c>
      <c r="D42" s="9">
        <v>60</v>
      </c>
      <c r="E42" s="9">
        <v>37</v>
      </c>
      <c r="F42" s="43">
        <v>53</v>
      </c>
      <c r="G42" s="20">
        <f t="shared" si="0"/>
        <v>0.20202000000000001</v>
      </c>
    </row>
    <row r="43" spans="1:7" x14ac:dyDescent="0.5">
      <c r="A43" s="8">
        <v>290</v>
      </c>
      <c r="B43" s="40">
        <f>COUNTIF($B$1:B42, "&gt;0")+2001</f>
        <v>2041</v>
      </c>
      <c r="C43" s="17">
        <v>37</v>
      </c>
      <c r="D43" s="17">
        <v>32</v>
      </c>
      <c r="E43" s="17">
        <v>20</v>
      </c>
      <c r="F43" s="31">
        <v>5</v>
      </c>
      <c r="G43" s="20">
        <f t="shared" si="0"/>
        <v>2.368E-2</v>
      </c>
    </row>
    <row r="44" spans="1:7" x14ac:dyDescent="0.5">
      <c r="A44" s="8">
        <v>291</v>
      </c>
      <c r="B44" s="40">
        <f>COUNTIF($B$1:B43, "&gt;0")+2001</f>
        <v>2042</v>
      </c>
      <c r="C44" s="17">
        <v>37</v>
      </c>
      <c r="D44" s="17">
        <v>32</v>
      </c>
      <c r="E44" s="17">
        <v>20</v>
      </c>
      <c r="F44" s="31">
        <v>5</v>
      </c>
      <c r="G44" s="20">
        <f t="shared" si="0"/>
        <v>2.368E-2</v>
      </c>
    </row>
    <row r="45" spans="1:7" x14ac:dyDescent="0.5">
      <c r="A45" s="8">
        <v>292</v>
      </c>
      <c r="B45" s="40">
        <f>COUNTIF($B$1:B44, "&gt;0")+2001</f>
        <v>2043</v>
      </c>
      <c r="C45" s="17">
        <v>37</v>
      </c>
      <c r="D45" s="17">
        <v>32</v>
      </c>
      <c r="E45" s="17">
        <v>20</v>
      </c>
      <c r="F45" s="31">
        <v>5</v>
      </c>
      <c r="G45" s="20">
        <f t="shared" si="0"/>
        <v>2.368E-2</v>
      </c>
    </row>
    <row r="46" spans="1:7" x14ac:dyDescent="0.5">
      <c r="A46" s="8">
        <v>293</v>
      </c>
      <c r="B46" s="40">
        <f>COUNTIF($B$1:B45, "&gt;0")+2001</f>
        <v>2044</v>
      </c>
      <c r="C46" s="17">
        <v>37</v>
      </c>
      <c r="D46" s="17">
        <v>32</v>
      </c>
      <c r="E46" s="17">
        <v>20</v>
      </c>
      <c r="F46" s="31">
        <v>5</v>
      </c>
      <c r="G46" s="20">
        <f t="shared" si="0"/>
        <v>2.368E-2</v>
      </c>
    </row>
    <row r="47" spans="1:7" x14ac:dyDescent="0.5">
      <c r="A47" s="8">
        <v>294</v>
      </c>
      <c r="B47" s="40">
        <f>COUNTIF($B$1:B46, "&gt;0")+2001</f>
        <v>2045</v>
      </c>
      <c r="C47" s="17">
        <v>62</v>
      </c>
      <c r="D47" s="17">
        <v>44</v>
      </c>
      <c r="E47" s="17">
        <v>27</v>
      </c>
      <c r="F47" s="31">
        <v>17</v>
      </c>
      <c r="G47" s="20">
        <f t="shared" si="0"/>
        <v>7.3655999999999999E-2</v>
      </c>
    </row>
    <row r="48" spans="1:7" x14ac:dyDescent="0.5">
      <c r="A48" s="8">
        <v>295</v>
      </c>
      <c r="B48" s="40">
        <f>COUNTIF($B$1:B47, "&gt;0")+2001</f>
        <v>2046</v>
      </c>
      <c r="C48" s="17">
        <v>62</v>
      </c>
      <c r="D48" s="17">
        <v>44</v>
      </c>
      <c r="E48" s="17">
        <v>27</v>
      </c>
      <c r="F48" s="31">
        <v>17</v>
      </c>
      <c r="G48" s="20">
        <f t="shared" si="0"/>
        <v>7.3655999999999999E-2</v>
      </c>
    </row>
    <row r="49" spans="1:7" x14ac:dyDescent="0.5">
      <c r="A49" s="8">
        <v>296</v>
      </c>
      <c r="B49" s="40">
        <f>COUNTIF($B$1:B48, "&gt;0")+2001</f>
        <v>2047</v>
      </c>
      <c r="C49" s="17">
        <v>62</v>
      </c>
      <c r="D49" s="17">
        <v>44</v>
      </c>
      <c r="E49" s="17">
        <v>27</v>
      </c>
      <c r="F49" s="31">
        <v>17</v>
      </c>
      <c r="G49" s="20">
        <f t="shared" si="0"/>
        <v>7.3655999999999999E-2</v>
      </c>
    </row>
    <row r="50" spans="1:7" x14ac:dyDescent="0.5">
      <c r="A50" s="8">
        <v>297</v>
      </c>
      <c r="B50" s="40">
        <f>COUNTIF($B$1:B49, "&gt;0")+2001</f>
        <v>2048</v>
      </c>
      <c r="C50" s="17">
        <v>62</v>
      </c>
      <c r="D50" s="17">
        <v>44</v>
      </c>
      <c r="E50" s="17">
        <v>27</v>
      </c>
      <c r="F50" s="31">
        <v>17</v>
      </c>
      <c r="G50" s="20">
        <f t="shared" si="0"/>
        <v>7.3655999999999999E-2</v>
      </c>
    </row>
    <row r="51" spans="1:7" x14ac:dyDescent="0.5">
      <c r="A51" s="8">
        <v>298</v>
      </c>
      <c r="B51" s="40">
        <f>COUNTIF($B$1:B50, "&gt;0")+2001</f>
        <v>2049</v>
      </c>
      <c r="C51" s="17">
        <v>62</v>
      </c>
      <c r="D51" s="17">
        <v>44</v>
      </c>
      <c r="E51" s="17">
        <v>27</v>
      </c>
      <c r="F51" s="31">
        <v>17</v>
      </c>
      <c r="G51" s="20">
        <f t="shared" si="0"/>
        <v>7.3655999999999999E-2</v>
      </c>
    </row>
    <row r="52" spans="1:7" x14ac:dyDescent="0.5">
      <c r="A52" s="8">
        <v>299</v>
      </c>
      <c r="B52" s="40">
        <f>COUNTIF($B$1:B51, "&gt;0")+2001</f>
        <v>2050</v>
      </c>
      <c r="C52" s="32">
        <v>61</v>
      </c>
      <c r="D52" s="32">
        <v>35</v>
      </c>
      <c r="E52" s="32">
        <v>66</v>
      </c>
      <c r="F52" s="50">
        <v>35</v>
      </c>
      <c r="G52" s="20">
        <f t="shared" si="0"/>
        <v>0.14091000000000001</v>
      </c>
    </row>
    <row r="53" spans="1:7" x14ac:dyDescent="0.5">
      <c r="A53" s="8">
        <v>300</v>
      </c>
      <c r="B53" s="40">
        <f>COUNTIF($B$1:B52, "&gt;0")+2001</f>
        <v>2051</v>
      </c>
      <c r="C53" s="21">
        <v>59</v>
      </c>
      <c r="D53" s="21">
        <v>64</v>
      </c>
      <c r="E53" s="21">
        <v>48</v>
      </c>
      <c r="F53" s="27">
        <v>37</v>
      </c>
      <c r="G53" s="20">
        <f t="shared" si="0"/>
        <v>0.18124799999999999</v>
      </c>
    </row>
    <row r="54" spans="1:7" x14ac:dyDescent="0.5">
      <c r="A54" s="8">
        <v>301</v>
      </c>
      <c r="B54" s="40">
        <f>COUNTIF($B$1:B53, "&gt;0")+2001</f>
        <v>2052</v>
      </c>
      <c r="C54" s="21">
        <v>39</v>
      </c>
      <c r="D54" s="21">
        <v>65</v>
      </c>
      <c r="E54" s="21">
        <v>33</v>
      </c>
      <c r="F54" s="27">
        <v>29</v>
      </c>
      <c r="G54" s="20">
        <f t="shared" si="0"/>
        <v>8.3654999999999993E-2</v>
      </c>
    </row>
    <row r="55" spans="1:7" x14ac:dyDescent="0.5">
      <c r="A55" s="8">
        <v>302</v>
      </c>
      <c r="B55" s="40">
        <f>COUNTIF($B$1:B54, "&gt;0")+2001</f>
        <v>2053</v>
      </c>
      <c r="C55" s="21">
        <v>39</v>
      </c>
      <c r="D55" s="21">
        <v>65</v>
      </c>
      <c r="E55" s="21">
        <v>33</v>
      </c>
      <c r="F55" s="27">
        <v>29</v>
      </c>
      <c r="G55" s="20">
        <f t="shared" si="0"/>
        <v>8.3654999999999993E-2</v>
      </c>
    </row>
    <row r="56" spans="1:7" x14ac:dyDescent="0.5">
      <c r="A56" s="8">
        <v>303</v>
      </c>
      <c r="B56" s="40">
        <f>COUNTIF($B$1:B55, "&gt;0")+2001</f>
        <v>2054</v>
      </c>
      <c r="C56" s="9">
        <v>61</v>
      </c>
      <c r="D56" s="9">
        <v>50</v>
      </c>
      <c r="E56" s="9">
        <v>23</v>
      </c>
      <c r="F56" s="46">
        <v>20</v>
      </c>
      <c r="G56" s="20">
        <f t="shared" si="0"/>
        <v>7.0150000000000004E-2</v>
      </c>
    </row>
    <row r="57" spans="1:7" x14ac:dyDescent="0.5">
      <c r="A57" s="8">
        <v>304</v>
      </c>
      <c r="B57" s="40">
        <f>COUNTIF($B$1:B56, "&gt;0")+2001</f>
        <v>2055</v>
      </c>
      <c r="C57" s="9">
        <v>91</v>
      </c>
      <c r="D57" s="9">
        <v>99</v>
      </c>
      <c r="E57" s="9">
        <v>106</v>
      </c>
      <c r="F57" s="52">
        <v>65</v>
      </c>
      <c r="G57" s="20">
        <f t="shared" si="0"/>
        <v>0.95495399999999997</v>
      </c>
    </row>
    <row r="58" spans="1:7" x14ac:dyDescent="0.5">
      <c r="A58" s="8">
        <v>305</v>
      </c>
      <c r="B58" s="40">
        <f>COUNTIF($B$1:B57, "&gt;0")+2001</f>
        <v>2056</v>
      </c>
      <c r="C58" s="9">
        <v>91</v>
      </c>
      <c r="D58" s="9">
        <v>99</v>
      </c>
      <c r="E58" s="9">
        <v>106</v>
      </c>
      <c r="F58" s="52">
        <v>65</v>
      </c>
      <c r="G58" s="20">
        <f t="shared" si="0"/>
        <v>0.95495399999999997</v>
      </c>
    </row>
    <row r="59" spans="1:7" x14ac:dyDescent="0.5">
      <c r="A59" s="8">
        <v>306</v>
      </c>
      <c r="B59" s="40">
        <f>COUNTIF($B$1:B58, "&gt;0")+2001</f>
        <v>2057</v>
      </c>
      <c r="C59" s="23">
        <v>59</v>
      </c>
      <c r="D59" s="23">
        <v>14</v>
      </c>
      <c r="E59" s="23">
        <v>39</v>
      </c>
      <c r="F59" s="24">
        <v>6</v>
      </c>
      <c r="G59" s="20">
        <f t="shared" si="0"/>
        <v>3.2214E-2</v>
      </c>
    </row>
    <row r="60" spans="1:7" x14ac:dyDescent="0.5">
      <c r="A60" s="8">
        <v>307</v>
      </c>
      <c r="B60" s="40">
        <f>COUNTIF($B$1:B59, "&gt;0")+2001</f>
        <v>2058</v>
      </c>
      <c r="C60" s="44">
        <v>43</v>
      </c>
      <c r="D60" s="44">
        <v>34</v>
      </c>
      <c r="E60" s="44">
        <v>19</v>
      </c>
      <c r="F60" s="44">
        <v>5</v>
      </c>
      <c r="G60" s="20">
        <f t="shared" si="0"/>
        <v>2.7778000000000001E-2</v>
      </c>
    </row>
    <row r="61" spans="1:7" x14ac:dyDescent="0.5">
      <c r="A61" s="8">
        <v>308</v>
      </c>
      <c r="B61" s="9">
        <v>1</v>
      </c>
      <c r="C61" s="12">
        <v>80</v>
      </c>
      <c r="D61" s="12">
        <v>55</v>
      </c>
      <c r="E61" s="12">
        <v>40</v>
      </c>
      <c r="F61" s="28">
        <v>21</v>
      </c>
      <c r="G61" s="13">
        <f t="shared" si="0"/>
        <v>0.17599999999999999</v>
      </c>
    </row>
    <row r="62" spans="1:7" x14ac:dyDescent="0.5">
      <c r="A62" s="8">
        <v>309</v>
      </c>
      <c r="B62" s="9">
        <v>2</v>
      </c>
      <c r="C62" s="12">
        <v>55</v>
      </c>
      <c r="D62" s="12">
        <v>35</v>
      </c>
      <c r="E62" s="12">
        <v>25</v>
      </c>
      <c r="F62" s="28">
        <v>12</v>
      </c>
      <c r="G62" s="13">
        <f t="shared" si="0"/>
        <v>4.8125000000000001E-2</v>
      </c>
    </row>
    <row r="63" spans="1:7" x14ac:dyDescent="0.5">
      <c r="A63" s="8">
        <v>310</v>
      </c>
      <c r="B63" s="9">
        <v>3</v>
      </c>
      <c r="C63" s="12">
        <v>55</v>
      </c>
      <c r="D63" s="12">
        <v>40</v>
      </c>
      <c r="E63" s="12">
        <v>22</v>
      </c>
      <c r="F63" s="28">
        <v>14</v>
      </c>
      <c r="G63" s="13">
        <f t="shared" si="0"/>
        <v>4.8399999999999999E-2</v>
      </c>
    </row>
    <row r="64" spans="1:7" x14ac:dyDescent="0.5">
      <c r="A64" s="8">
        <v>311</v>
      </c>
      <c r="B64" s="9">
        <v>4</v>
      </c>
      <c r="C64" s="53">
        <v>50</v>
      </c>
      <c r="D64" s="53">
        <v>30</v>
      </c>
      <c r="E64" s="53">
        <v>42</v>
      </c>
      <c r="F64" s="53">
        <v>16</v>
      </c>
      <c r="G64" s="20">
        <f t="shared" si="0"/>
        <v>6.3E-2</v>
      </c>
    </row>
    <row r="65" spans="1:7" x14ac:dyDescent="0.5">
      <c r="A65" s="8">
        <v>312</v>
      </c>
      <c r="B65" s="9">
        <v>1</v>
      </c>
      <c r="C65" s="12">
        <v>68</v>
      </c>
      <c r="D65" s="12">
        <v>47</v>
      </c>
      <c r="E65" s="12">
        <v>32</v>
      </c>
      <c r="F65" s="12">
        <v>18</v>
      </c>
      <c r="G65" s="28">
        <v>0.10199999999999999</v>
      </c>
    </row>
    <row r="66" spans="1:7" x14ac:dyDescent="0.5">
      <c r="A66" s="8">
        <v>313</v>
      </c>
      <c r="B66" s="9">
        <v>2</v>
      </c>
      <c r="C66" s="21">
        <v>56</v>
      </c>
      <c r="D66" s="21">
        <v>19</v>
      </c>
      <c r="E66" s="21">
        <v>80</v>
      </c>
      <c r="F66" s="21">
        <v>17</v>
      </c>
      <c r="G66" s="20">
        <f t="shared" ref="G66:G73" si="1">PRODUCT(C66:E66)/1000000</f>
        <v>8.5120000000000001E-2</v>
      </c>
    </row>
    <row r="67" spans="1:7" x14ac:dyDescent="0.5">
      <c r="A67" s="8">
        <v>314</v>
      </c>
      <c r="B67" s="9">
        <v>1</v>
      </c>
      <c r="C67" s="12">
        <v>92</v>
      </c>
      <c r="D67" s="12">
        <v>49</v>
      </c>
      <c r="E67" s="12">
        <v>46</v>
      </c>
      <c r="F67" s="12">
        <v>46</v>
      </c>
      <c r="G67" s="13">
        <f t="shared" si="1"/>
        <v>0.207368</v>
      </c>
    </row>
    <row r="68" spans="1:7" x14ac:dyDescent="0.5">
      <c r="A68" s="8">
        <v>315</v>
      </c>
      <c r="B68" s="9">
        <v>2</v>
      </c>
      <c r="C68" s="12">
        <v>92</v>
      </c>
      <c r="D68" s="12">
        <v>49</v>
      </c>
      <c r="E68" s="12">
        <v>46</v>
      </c>
      <c r="F68" s="12">
        <v>46</v>
      </c>
      <c r="G68" s="13">
        <f t="shared" si="1"/>
        <v>0.207368</v>
      </c>
    </row>
    <row r="69" spans="1:7" x14ac:dyDescent="0.5">
      <c r="A69" s="8">
        <v>316</v>
      </c>
      <c r="B69" s="9">
        <v>3</v>
      </c>
      <c r="C69" s="12">
        <v>92</v>
      </c>
      <c r="D69" s="12">
        <v>49</v>
      </c>
      <c r="E69" s="12">
        <v>46</v>
      </c>
      <c r="F69" s="12">
        <v>46</v>
      </c>
      <c r="G69" s="13">
        <f t="shared" si="1"/>
        <v>0.207368</v>
      </c>
    </row>
    <row r="70" spans="1:7" x14ac:dyDescent="0.5">
      <c r="A70" s="8">
        <v>317</v>
      </c>
      <c r="B70" s="9">
        <v>4</v>
      </c>
      <c r="C70" s="12">
        <v>53</v>
      </c>
      <c r="D70" s="12">
        <v>33</v>
      </c>
      <c r="E70" s="12">
        <v>45</v>
      </c>
      <c r="F70" s="12">
        <v>14</v>
      </c>
      <c r="G70" s="13">
        <f t="shared" si="1"/>
        <v>7.8704999999999997E-2</v>
      </c>
    </row>
    <row r="71" spans="1:7" x14ac:dyDescent="0.5">
      <c r="A71" s="8">
        <v>318</v>
      </c>
      <c r="B71" s="9">
        <v>5</v>
      </c>
      <c r="C71" s="12">
        <v>53</v>
      </c>
      <c r="D71" s="12">
        <v>33</v>
      </c>
      <c r="E71" s="12">
        <v>45</v>
      </c>
      <c r="F71" s="12">
        <v>14</v>
      </c>
      <c r="G71" s="13">
        <f t="shared" si="1"/>
        <v>7.8704999999999997E-2</v>
      </c>
    </row>
    <row r="72" spans="1:7" ht="14.7" thickBot="1" x14ac:dyDescent="0.55000000000000004">
      <c r="A72" s="54">
        <v>319</v>
      </c>
      <c r="B72" s="55">
        <v>6</v>
      </c>
      <c r="C72" s="56">
        <v>53</v>
      </c>
      <c r="D72" s="56">
        <v>33</v>
      </c>
      <c r="E72" s="56">
        <v>45</v>
      </c>
      <c r="F72" s="56">
        <v>14</v>
      </c>
      <c r="G72" s="57">
        <f t="shared" si="1"/>
        <v>7.8704999999999997E-2</v>
      </c>
    </row>
    <row r="73" spans="1:7" x14ac:dyDescent="0.5">
      <c r="A73" s="58">
        <v>320</v>
      </c>
      <c r="B73" s="59">
        <v>3001</v>
      </c>
      <c r="C73" s="60">
        <v>61</v>
      </c>
      <c r="D73" s="60">
        <v>47</v>
      </c>
      <c r="E73" s="60">
        <v>27</v>
      </c>
      <c r="F73" s="60">
        <v>16</v>
      </c>
      <c r="G73" s="61">
        <f t="shared" si="1"/>
        <v>7.7409000000000006E-2</v>
      </c>
    </row>
    <row r="74" spans="1:7" x14ac:dyDescent="0.5">
      <c r="A74" s="62">
        <v>321</v>
      </c>
      <c r="B74" s="63">
        <v>3002</v>
      </c>
      <c r="C74" s="64">
        <v>61</v>
      </c>
      <c r="D74" s="64">
        <v>47</v>
      </c>
      <c r="E74" s="64">
        <v>27</v>
      </c>
      <c r="F74" s="64">
        <v>16</v>
      </c>
      <c r="G74" s="65">
        <v>7.7409000000000006E-2</v>
      </c>
    </row>
    <row r="75" spans="1:7" x14ac:dyDescent="0.5">
      <c r="A75" s="62">
        <v>322</v>
      </c>
      <c r="B75" s="63">
        <v>3003</v>
      </c>
      <c r="C75" s="64">
        <v>61</v>
      </c>
      <c r="D75" s="64">
        <v>47</v>
      </c>
      <c r="E75" s="64">
        <v>27</v>
      </c>
      <c r="F75" s="64">
        <v>16</v>
      </c>
      <c r="G75" s="65">
        <v>7.7409000000000006E-2</v>
      </c>
    </row>
    <row r="76" spans="1:7" x14ac:dyDescent="0.5">
      <c r="A76" s="62">
        <v>323</v>
      </c>
      <c r="B76" s="63">
        <v>3004</v>
      </c>
      <c r="C76" s="63">
        <v>53</v>
      </c>
      <c r="D76" s="63">
        <v>43</v>
      </c>
      <c r="E76" s="63">
        <v>21</v>
      </c>
      <c r="F76" s="63">
        <v>28</v>
      </c>
      <c r="G76" s="65">
        <v>4.7858999999999999E-2</v>
      </c>
    </row>
    <row r="77" spans="1:7" x14ac:dyDescent="0.5">
      <c r="A77" s="62">
        <v>324</v>
      </c>
      <c r="B77" s="63">
        <v>3005</v>
      </c>
      <c r="C77" s="64">
        <v>63</v>
      </c>
      <c r="D77" s="64">
        <v>50</v>
      </c>
      <c r="E77" s="64">
        <v>25</v>
      </c>
      <c r="F77" s="64">
        <v>16</v>
      </c>
      <c r="G77" s="65">
        <v>7.8750000000000001E-2</v>
      </c>
    </row>
    <row r="78" spans="1:7" x14ac:dyDescent="0.5">
      <c r="A78" s="62">
        <v>325</v>
      </c>
      <c r="B78" s="63">
        <f>COUNTIF($B$1:B73, "&gt;0")+3001</f>
        <v>3072</v>
      </c>
      <c r="C78" s="64">
        <v>61</v>
      </c>
      <c r="D78" s="64">
        <v>47</v>
      </c>
      <c r="E78" s="64">
        <v>27</v>
      </c>
      <c r="F78" s="64">
        <v>16</v>
      </c>
      <c r="G78" s="65">
        <f>PRODUCT(C78:E78)/1000000</f>
        <v>7.7409000000000006E-2</v>
      </c>
    </row>
    <row r="79" spans="1:7" x14ac:dyDescent="0.5">
      <c r="A79" s="62">
        <v>326</v>
      </c>
      <c r="B79" s="63">
        <f>COUNTIF($B$1:B78, "&gt;0")+3001</f>
        <v>3077</v>
      </c>
      <c r="C79" s="64">
        <v>61</v>
      </c>
      <c r="D79" s="64">
        <v>47</v>
      </c>
      <c r="E79" s="64">
        <v>27</v>
      </c>
      <c r="F79" s="64">
        <v>16</v>
      </c>
      <c r="G79" s="65">
        <f>PRODUCT(C79:E79)/1000000</f>
        <v>7.7409000000000006E-2</v>
      </c>
    </row>
    <row r="80" spans="1:7" x14ac:dyDescent="0.5">
      <c r="A80" s="62">
        <v>327</v>
      </c>
      <c r="B80" s="63">
        <f>COUNTIF($B$1:B79, "&gt;0")+3001</f>
        <v>3078</v>
      </c>
      <c r="C80" s="63">
        <v>53</v>
      </c>
      <c r="D80" s="63">
        <v>43</v>
      </c>
      <c r="E80" s="63">
        <v>21</v>
      </c>
      <c r="F80" s="63">
        <v>28</v>
      </c>
      <c r="G80" s="65">
        <f>PRODUCT(C80:E80)/1000000</f>
        <v>4.7858999999999999E-2</v>
      </c>
    </row>
    <row r="81" spans="1:7" x14ac:dyDescent="0.5">
      <c r="A81" s="62">
        <v>328</v>
      </c>
      <c r="B81" s="63">
        <f>COUNTIF($B$1:B80, "&gt;0")+3001</f>
        <v>3079</v>
      </c>
      <c r="C81" s="63">
        <v>63</v>
      </c>
      <c r="D81" s="63">
        <v>50</v>
      </c>
      <c r="E81" s="63">
        <v>25</v>
      </c>
      <c r="F81" s="63">
        <v>16</v>
      </c>
      <c r="G81" s="65">
        <f>PRODUCT(C81:E81)/1000000</f>
        <v>7.8750000000000001E-2</v>
      </c>
    </row>
    <row r="82" spans="1:7" x14ac:dyDescent="0.5">
      <c r="A82" s="62">
        <v>329</v>
      </c>
      <c r="B82" s="66">
        <v>1</v>
      </c>
      <c r="C82" s="67">
        <v>155</v>
      </c>
      <c r="D82" s="67">
        <v>96</v>
      </c>
      <c r="E82" s="68">
        <v>97</v>
      </c>
      <c r="F82" s="67">
        <v>368</v>
      </c>
      <c r="G82" s="65">
        <f>(C82*D82*E82)/1000000</f>
        <v>1.44336</v>
      </c>
    </row>
    <row r="83" spans="1:7" x14ac:dyDescent="0.5">
      <c r="A83" s="62">
        <v>330</v>
      </c>
      <c r="B83" s="66">
        <v>1</v>
      </c>
      <c r="C83" s="67">
        <v>155</v>
      </c>
      <c r="D83" s="67">
        <v>96</v>
      </c>
      <c r="E83" s="68">
        <v>97</v>
      </c>
      <c r="F83" s="67">
        <v>368</v>
      </c>
      <c r="G83" s="65">
        <f t="shared" ref="G83:G106" si="2">(C83*D83*E83)/1000000</f>
        <v>1.44336</v>
      </c>
    </row>
    <row r="84" spans="1:7" x14ac:dyDescent="0.5">
      <c r="A84" s="62">
        <v>331</v>
      </c>
      <c r="B84" s="66">
        <v>1</v>
      </c>
      <c r="C84" s="67">
        <v>155</v>
      </c>
      <c r="D84" s="67">
        <v>96</v>
      </c>
      <c r="E84" s="68">
        <v>97</v>
      </c>
      <c r="F84" s="67">
        <v>368</v>
      </c>
      <c r="G84" s="65">
        <f t="shared" si="2"/>
        <v>1.44336</v>
      </c>
    </row>
    <row r="85" spans="1:7" x14ac:dyDescent="0.5">
      <c r="A85" s="62">
        <v>332</v>
      </c>
      <c r="B85" s="66">
        <v>1</v>
      </c>
      <c r="C85" s="67">
        <v>155</v>
      </c>
      <c r="D85" s="67">
        <v>96</v>
      </c>
      <c r="E85" s="68">
        <v>97</v>
      </c>
      <c r="F85" s="67">
        <v>368</v>
      </c>
      <c r="G85" s="65">
        <f t="shared" si="2"/>
        <v>1.44336</v>
      </c>
    </row>
    <row r="86" spans="1:7" x14ac:dyDescent="0.5">
      <c r="A86" s="62">
        <v>333</v>
      </c>
      <c r="B86" s="66">
        <v>1</v>
      </c>
      <c r="C86" s="67">
        <v>131</v>
      </c>
      <c r="D86" s="67">
        <v>67</v>
      </c>
      <c r="E86" s="68">
        <v>96</v>
      </c>
      <c r="F86" s="67">
        <v>91</v>
      </c>
      <c r="G86" s="65">
        <f t="shared" si="2"/>
        <v>0.84259200000000001</v>
      </c>
    </row>
    <row r="87" spans="1:7" x14ac:dyDescent="0.5">
      <c r="A87" s="62">
        <v>334</v>
      </c>
      <c r="B87" s="66">
        <v>1</v>
      </c>
      <c r="C87" s="67">
        <v>46</v>
      </c>
      <c r="D87" s="67">
        <v>75</v>
      </c>
      <c r="E87" s="68">
        <v>107</v>
      </c>
      <c r="F87" s="67">
        <v>55</v>
      </c>
      <c r="G87" s="65">
        <f t="shared" si="2"/>
        <v>0.36914999999999998</v>
      </c>
    </row>
    <row r="88" spans="1:7" x14ac:dyDescent="0.5">
      <c r="A88" s="62">
        <v>335</v>
      </c>
      <c r="B88" s="66">
        <v>1</v>
      </c>
      <c r="C88" s="67">
        <v>62</v>
      </c>
      <c r="D88" s="67">
        <v>122</v>
      </c>
      <c r="E88" s="68">
        <v>102</v>
      </c>
      <c r="F88" s="67">
        <v>139</v>
      </c>
      <c r="G88" s="65">
        <f t="shared" si="2"/>
        <v>0.77152799999999999</v>
      </c>
    </row>
    <row r="89" spans="1:7" x14ac:dyDescent="0.5">
      <c r="A89" s="62">
        <v>336</v>
      </c>
      <c r="B89" s="66">
        <v>1</v>
      </c>
      <c r="C89" s="67">
        <v>62</v>
      </c>
      <c r="D89" s="67">
        <v>122</v>
      </c>
      <c r="E89" s="68">
        <v>75</v>
      </c>
      <c r="F89" s="67">
        <v>176</v>
      </c>
      <c r="G89" s="65">
        <f t="shared" si="2"/>
        <v>0.56730000000000003</v>
      </c>
    </row>
    <row r="90" spans="1:7" x14ac:dyDescent="0.5">
      <c r="A90" s="62">
        <v>337</v>
      </c>
      <c r="B90" s="66">
        <v>1</v>
      </c>
      <c r="C90" s="67">
        <v>62</v>
      </c>
      <c r="D90" s="67">
        <v>122</v>
      </c>
      <c r="E90" s="68">
        <v>75</v>
      </c>
      <c r="F90" s="67">
        <v>185</v>
      </c>
      <c r="G90" s="65">
        <f t="shared" si="2"/>
        <v>0.56730000000000003</v>
      </c>
    </row>
    <row r="91" spans="1:7" x14ac:dyDescent="0.5">
      <c r="A91" s="62">
        <v>338</v>
      </c>
      <c r="B91" s="66">
        <v>1</v>
      </c>
      <c r="C91" s="67">
        <v>62</v>
      </c>
      <c r="D91" s="67">
        <v>122</v>
      </c>
      <c r="E91" s="68">
        <v>102</v>
      </c>
      <c r="F91" s="67">
        <v>133</v>
      </c>
      <c r="G91" s="65">
        <f t="shared" si="2"/>
        <v>0.77152799999999999</v>
      </c>
    </row>
    <row r="92" spans="1:7" x14ac:dyDescent="0.5">
      <c r="A92" s="62">
        <v>339</v>
      </c>
      <c r="B92" s="66">
        <v>1</v>
      </c>
      <c r="C92" s="67">
        <v>62</v>
      </c>
      <c r="D92" s="67">
        <v>122</v>
      </c>
      <c r="E92" s="68">
        <v>102</v>
      </c>
      <c r="F92" s="67">
        <v>113</v>
      </c>
      <c r="G92" s="65">
        <f t="shared" si="2"/>
        <v>0.77152799999999999</v>
      </c>
    </row>
    <row r="93" spans="1:7" x14ac:dyDescent="0.5">
      <c r="A93" s="62">
        <v>340</v>
      </c>
      <c r="B93" s="66">
        <v>1</v>
      </c>
      <c r="C93" s="67">
        <v>62</v>
      </c>
      <c r="D93" s="67">
        <v>122</v>
      </c>
      <c r="E93" s="68">
        <v>102</v>
      </c>
      <c r="F93" s="67">
        <v>130</v>
      </c>
      <c r="G93" s="65">
        <f t="shared" si="2"/>
        <v>0.77152799999999999</v>
      </c>
    </row>
    <row r="94" spans="1:7" x14ac:dyDescent="0.5">
      <c r="A94" s="62">
        <v>341</v>
      </c>
      <c r="B94" s="66">
        <v>1</v>
      </c>
      <c r="C94" s="67">
        <v>121</v>
      </c>
      <c r="D94" s="67">
        <v>80</v>
      </c>
      <c r="E94" s="67">
        <v>70</v>
      </c>
      <c r="F94" s="67">
        <v>55</v>
      </c>
      <c r="G94" s="65">
        <f t="shared" si="2"/>
        <v>0.67759999999999998</v>
      </c>
    </row>
    <row r="95" spans="1:7" x14ac:dyDescent="0.5">
      <c r="A95" s="62">
        <v>342</v>
      </c>
      <c r="B95" s="69">
        <v>1</v>
      </c>
      <c r="C95" s="70">
        <v>155</v>
      </c>
      <c r="D95" s="70">
        <v>96</v>
      </c>
      <c r="E95" s="71">
        <v>97</v>
      </c>
      <c r="F95" s="70">
        <v>368</v>
      </c>
      <c r="G95" s="65">
        <f t="shared" si="2"/>
        <v>1.44336</v>
      </c>
    </row>
    <row r="96" spans="1:7" x14ac:dyDescent="0.5">
      <c r="A96" s="62">
        <v>343</v>
      </c>
      <c r="B96" s="69">
        <v>1</v>
      </c>
      <c r="C96" s="70">
        <v>155</v>
      </c>
      <c r="D96" s="70">
        <v>96</v>
      </c>
      <c r="E96" s="71">
        <v>97</v>
      </c>
      <c r="F96" s="70">
        <v>368</v>
      </c>
      <c r="G96" s="65">
        <f t="shared" si="2"/>
        <v>1.44336</v>
      </c>
    </row>
    <row r="97" spans="1:7" x14ac:dyDescent="0.5">
      <c r="A97" s="62">
        <v>344</v>
      </c>
      <c r="B97" s="69">
        <v>1</v>
      </c>
      <c r="C97" s="70">
        <v>155</v>
      </c>
      <c r="D97" s="70">
        <v>96</v>
      </c>
      <c r="E97" s="71">
        <v>97</v>
      </c>
      <c r="F97" s="70">
        <v>368</v>
      </c>
      <c r="G97" s="65">
        <f t="shared" si="2"/>
        <v>1.44336</v>
      </c>
    </row>
    <row r="98" spans="1:7" x14ac:dyDescent="0.5">
      <c r="A98" s="62">
        <v>345</v>
      </c>
      <c r="B98" s="69">
        <v>1</v>
      </c>
      <c r="C98" s="70">
        <v>155</v>
      </c>
      <c r="D98" s="70">
        <v>96</v>
      </c>
      <c r="E98" s="71">
        <v>97</v>
      </c>
      <c r="F98" s="70">
        <v>368</v>
      </c>
      <c r="G98" s="65">
        <f t="shared" si="2"/>
        <v>1.44336</v>
      </c>
    </row>
    <row r="99" spans="1:7" x14ac:dyDescent="0.5">
      <c r="A99" s="62">
        <v>346</v>
      </c>
      <c r="B99" s="69">
        <v>1</v>
      </c>
      <c r="C99" s="70">
        <v>197</v>
      </c>
      <c r="D99" s="70">
        <v>65</v>
      </c>
      <c r="E99" s="71">
        <v>84</v>
      </c>
      <c r="F99" s="70">
        <v>138</v>
      </c>
      <c r="G99" s="65">
        <f t="shared" si="2"/>
        <v>1.07562</v>
      </c>
    </row>
    <row r="100" spans="1:7" x14ac:dyDescent="0.5">
      <c r="A100" s="62">
        <v>347</v>
      </c>
      <c r="B100" s="69">
        <v>1</v>
      </c>
      <c r="C100" s="70">
        <v>62</v>
      </c>
      <c r="D100" s="70">
        <v>60</v>
      </c>
      <c r="E100" s="71">
        <v>107</v>
      </c>
      <c r="F100" s="70">
        <v>115</v>
      </c>
      <c r="G100" s="65">
        <f t="shared" si="2"/>
        <v>0.39804</v>
      </c>
    </row>
    <row r="101" spans="1:7" x14ac:dyDescent="0.5">
      <c r="A101" s="62">
        <v>348</v>
      </c>
      <c r="B101" s="69">
        <v>1</v>
      </c>
      <c r="C101" s="70">
        <v>62</v>
      </c>
      <c r="D101" s="70">
        <v>122</v>
      </c>
      <c r="E101" s="71">
        <v>102</v>
      </c>
      <c r="F101" s="70">
        <v>138</v>
      </c>
      <c r="G101" s="65">
        <f t="shared" si="2"/>
        <v>0.77152799999999999</v>
      </c>
    </row>
    <row r="102" spans="1:7" x14ac:dyDescent="0.5">
      <c r="A102" s="62">
        <v>349</v>
      </c>
      <c r="B102" s="69">
        <v>1</v>
      </c>
      <c r="C102" s="70">
        <v>62</v>
      </c>
      <c r="D102" s="70">
        <v>122</v>
      </c>
      <c r="E102" s="71">
        <v>75</v>
      </c>
      <c r="F102" s="70">
        <v>195</v>
      </c>
      <c r="G102" s="65">
        <f t="shared" si="2"/>
        <v>0.56730000000000003</v>
      </c>
    </row>
    <row r="103" spans="1:7" x14ac:dyDescent="0.5">
      <c r="A103" s="62">
        <v>350</v>
      </c>
      <c r="B103" s="69">
        <v>1</v>
      </c>
      <c r="C103" s="70">
        <v>62</v>
      </c>
      <c r="D103" s="70">
        <v>122</v>
      </c>
      <c r="E103" s="71">
        <v>75</v>
      </c>
      <c r="F103" s="70">
        <v>193</v>
      </c>
      <c r="G103" s="65">
        <f t="shared" si="2"/>
        <v>0.56730000000000003</v>
      </c>
    </row>
    <row r="104" spans="1:7" x14ac:dyDescent="0.5">
      <c r="A104" s="62">
        <v>351</v>
      </c>
      <c r="B104" s="69">
        <v>1</v>
      </c>
      <c r="C104" s="70">
        <v>62</v>
      </c>
      <c r="D104" s="70">
        <v>122</v>
      </c>
      <c r="E104" s="71">
        <v>102</v>
      </c>
      <c r="F104" s="70">
        <v>150</v>
      </c>
      <c r="G104" s="65">
        <f t="shared" si="2"/>
        <v>0.77152799999999999</v>
      </c>
    </row>
    <row r="105" spans="1:7" x14ac:dyDescent="0.5">
      <c r="A105" s="62">
        <v>352</v>
      </c>
      <c r="B105" s="69">
        <v>1</v>
      </c>
      <c r="C105" s="70">
        <v>62</v>
      </c>
      <c r="D105" s="70">
        <v>122</v>
      </c>
      <c r="E105" s="71">
        <v>102</v>
      </c>
      <c r="F105" s="70">
        <v>100</v>
      </c>
      <c r="G105" s="65">
        <f t="shared" si="2"/>
        <v>0.77152799999999999</v>
      </c>
    </row>
    <row r="106" spans="1:7" x14ac:dyDescent="0.5">
      <c r="A106" s="62">
        <v>353</v>
      </c>
      <c r="B106" s="69">
        <v>1</v>
      </c>
      <c r="C106" s="70">
        <v>62</v>
      </c>
      <c r="D106" s="70">
        <v>122</v>
      </c>
      <c r="E106" s="71">
        <v>102</v>
      </c>
      <c r="F106" s="70">
        <v>102</v>
      </c>
      <c r="G106" s="65">
        <f t="shared" si="2"/>
        <v>0.77152799999999999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page 1</vt:lpstr>
      <vt:lpstr>page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Khattab</dc:creator>
  <cp:lastModifiedBy>Nurulla Bekruediev</cp:lastModifiedBy>
  <dcterms:created xsi:type="dcterms:W3CDTF">2015-06-05T18:17:20Z</dcterms:created>
  <dcterms:modified xsi:type="dcterms:W3CDTF">2026-03-14T05:59:41Z</dcterms:modified>
</cp:coreProperties>
</file>